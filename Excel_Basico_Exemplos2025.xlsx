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GoogleDriver\VNT - Sistemas\Curso Excel PUC PR 2025\"/>
    </mc:Choice>
  </mc:AlternateContent>
  <xr:revisionPtr revIDLastSave="0" documentId="13_ncr:1_{5255A3EF-0906-49DB-BC92-21783ADD6428}" xr6:coauthVersionLast="47" xr6:coauthVersionMax="47" xr10:uidLastSave="{00000000-0000-0000-0000-000000000000}"/>
  <bookViews>
    <workbookView xWindow="-28920" yWindow="-2790" windowWidth="29040" windowHeight="15720" activeTab="3" xr2:uid="{00000000-000D-0000-FFFF-FFFF00000000}"/>
  </bookViews>
  <sheets>
    <sheet name="01_Área de Menu" sheetId="11" r:id="rId1"/>
    <sheet name="01-1_Séries" sheetId="29" r:id="rId2"/>
    <sheet name="02_Tabela_Vendas" sheetId="2" r:id="rId3"/>
    <sheet name="02_1Formatação CondicionaLinha" sheetId="30" r:id="rId4"/>
    <sheet name="02-1_Estúdio Fotográfic" sheetId="15" r:id="rId5"/>
    <sheet name="02-2_Referência" sheetId="23" r:id="rId6"/>
    <sheet name="03_Boletim" sheetId="3" r:id="rId7"/>
    <sheet name="03-1_Extrato Bancário" sheetId="12" r:id="rId8"/>
    <sheet name="03-2_Salários" sheetId="13" r:id="rId9"/>
    <sheet name="03-3_salários" sheetId="28" r:id="rId10"/>
    <sheet name="03-3_Future Computer" sheetId="16" r:id="rId11"/>
    <sheet name="03-4_Somase+Cont.se" sheetId="25" r:id="rId12"/>
    <sheet name="03-5_SomaSes+médiases" sheetId="26" r:id="rId13"/>
    <sheet name="04_Funções Contagem" sheetId="24" r:id="rId14"/>
    <sheet name="04_0Frequencia" sheetId="4" r:id="rId15"/>
    <sheet name="04-1_Cont.ses" sheetId="27" r:id="rId16"/>
    <sheet name="05_Validacao_Cargo" sheetId="5" r:id="rId17"/>
    <sheet name="06_Condicional_Media" sheetId="6" r:id="rId18"/>
    <sheet name="07_Planejamento" sheetId="9" r:id="rId19"/>
    <sheet name="08_Folha de Pagamento" sheetId="17" r:id="rId20"/>
    <sheet name="09_Proc V" sheetId="18" r:id="rId21"/>
    <sheet name="10_Proc H" sheetId="19" r:id="rId22"/>
    <sheet name="11_ProcV e ProcH" sheetId="20" r:id="rId23"/>
    <sheet name="12_Funcionários" sheetId="21" r:id="rId24"/>
    <sheet name="12_1ProcV" sheetId="22" r:id="rId25"/>
  </sheets>
  <externalReferences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A">'[3]Nomes de Células'!$B$2:$D$2</definedName>
    <definedName name="Aliq_ICMS">4.1%</definedName>
    <definedName name="B">'[3]Nomes de Células'!$B$3:$D$3</definedName>
    <definedName name="C_">'[3]Nomes de Células'!$B$4:$D$4</definedName>
    <definedName name="Cliente">[4]Somase!$A$2:$A$16</definedName>
    <definedName name="Cotação_Dolar">'[3]Nomes de Células'!$H$1</definedName>
    <definedName name="ESTOQUE">'[5]Ex 2.1 - Tabela Preços'!#REF!</definedName>
    <definedName name="ICMS">0.18</definedName>
    <definedName name="lista_setores">#REF!</definedName>
    <definedName name="MODELOS">'[5]Ex 2.1 - Tabela Preços'!#REF!</definedName>
    <definedName name="P_Unit">'[6]NOMES CÉLULAS'!$C$2:$C$4</definedName>
    <definedName name="Pares">[4]Somase!$D$2:$D$16</definedName>
    <definedName name="PercIcms">19%</definedName>
    <definedName name="PICMS">19%</definedName>
    <definedName name="Produtos">'[3]Nomes de Células'!$B$2:$D$4</definedName>
    <definedName name="Punit">'[3]Nomes de Células'!$C$2:$C$4</definedName>
    <definedName name="Qtd">'[3]Nomes de Células'!$B$2:$B$4</definedName>
    <definedName name="Quantidade">'[6]NOMES CÉLULAS'!$B$2:$B$4</definedName>
    <definedName name="setores">#REF!</definedName>
    <definedName name="tab_preço">[4]Modelos!$A$2:$D$8</definedName>
    <definedName name="tabela">[2]FUNCIONÁRIOS!$A$2:$C$6</definedName>
    <definedName name="tb_código">[2]FUNCIONÁRIOS!$A$2:$A$6</definedName>
    <definedName name="Total_R">[4]Somase!$E$2:$E$16</definedName>
    <definedName name="Valor">'[3]Nomes de Células'!$D$2:$D$4</definedName>
    <definedName name="Valor_Total">'[4]NOMES CELULAS'!$D$2:$D$4</definedName>
    <definedName name="VLR_ICMS">'[6]NOMES CÉLULAS'!$E$2:$E$4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27" l="1"/>
  <c r="F3" i="27"/>
  <c r="F4" i="27"/>
  <c r="F5" i="27"/>
  <c r="F6" i="27"/>
  <c r="F7" i="27"/>
  <c r="F8" i="27"/>
  <c r="F9" i="27"/>
  <c r="F10" i="27"/>
  <c r="F11" i="27"/>
  <c r="F12" i="27"/>
  <c r="F13" i="27"/>
  <c r="F14" i="27"/>
  <c r="F15" i="27"/>
  <c r="F16" i="27"/>
  <c r="F17" i="27"/>
  <c r="F18" i="27"/>
  <c r="F19" i="27"/>
  <c r="F20" i="27"/>
  <c r="F21" i="27"/>
  <c r="F22" i="27"/>
  <c r="F23" i="27"/>
  <c r="F24" i="27"/>
  <c r="F25" i="27"/>
  <c r="F26" i="27"/>
  <c r="F27" i="27"/>
  <c r="F28" i="27"/>
  <c r="F29" i="27"/>
  <c r="F30" i="27"/>
  <c r="F2" i="26"/>
  <c r="F3" i="26"/>
  <c r="F4" i="26"/>
  <c r="F5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" i="25"/>
  <c r="F4" i="25"/>
  <c r="F5" i="25"/>
  <c r="F6" i="25"/>
  <c r="F7" i="25"/>
  <c r="F8" i="25"/>
  <c r="F9" i="25"/>
  <c r="F10" i="25"/>
  <c r="F11" i="25"/>
  <c r="F12" i="25"/>
  <c r="F13" i="25"/>
  <c r="F14" i="25"/>
  <c r="F15" i="25"/>
  <c r="F16" i="25"/>
  <c r="F17" i="25"/>
  <c r="F18" i="25"/>
  <c r="F19" i="25"/>
  <c r="F20" i="25"/>
  <c r="F21" i="25"/>
  <c r="F22" i="25"/>
  <c r="F23" i="25"/>
  <c r="F24" i="25"/>
  <c r="F25" i="25"/>
  <c r="F26" i="25"/>
  <c r="F27" i="25"/>
  <c r="F28" i="25"/>
  <c r="F29" i="25"/>
  <c r="F30" i="25"/>
  <c r="F31" i="25"/>
  <c r="C7" i="15" l="1"/>
  <c r="C8" i="15"/>
  <c r="C9" i="15"/>
  <c r="F9" i="15"/>
  <c r="B10" i="15"/>
  <c r="C14" i="15"/>
  <c r="C15" i="15"/>
  <c r="C17" i="15" s="1"/>
  <c r="C16" i="15"/>
  <c r="B17" i="15"/>
  <c r="C10" i="1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Claudio Sampaio</author>
  </authors>
  <commentList>
    <comment ref="D5" authorId="0" shapeId="0" xr:uid="{6A977595-3A75-4031-8D7B-CBE822A4FE96}">
      <text>
        <r>
          <rPr>
            <b/>
            <sz val="9"/>
            <color indexed="81"/>
            <rFont val="Tahoma"/>
            <family val="2"/>
          </rPr>
          <t>Aux. Transporte:</t>
        </r>
        <r>
          <rPr>
            <sz val="9"/>
            <color indexed="81"/>
            <rFont val="Tahoma"/>
            <family val="2"/>
          </rPr>
          <t xml:space="preserve">
Equivale a 6% do vencimento</t>
        </r>
      </text>
    </comment>
    <comment ref="E5" authorId="0" shapeId="0" xr:uid="{9BCDCFE5-1426-4878-B7A7-0A9E6F2B8BFA}">
      <text>
        <r>
          <rPr>
            <b/>
            <sz val="9"/>
            <color indexed="81"/>
            <rFont val="Tahoma"/>
            <family val="2"/>
          </rPr>
          <t xml:space="preserve">S.Bruto: </t>
        </r>
        <r>
          <rPr>
            <sz val="9"/>
            <color indexed="81"/>
            <rFont val="Tahoma"/>
            <family val="2"/>
          </rPr>
          <t>Equivale vencimento + Aux Transporte</t>
        </r>
      </text>
    </comment>
    <comment ref="F5" authorId="0" shapeId="0" xr:uid="{A8D46A41-A6CB-4269-A2EB-9E65BDA39B1C}">
      <text>
        <r>
          <rPr>
            <b/>
            <sz val="9"/>
            <color indexed="81"/>
            <rFont val="Tahoma"/>
            <family val="2"/>
          </rPr>
          <t>INSS:</t>
        </r>
        <r>
          <rPr>
            <sz val="9"/>
            <color indexed="81"/>
            <rFont val="Tahoma"/>
            <family val="2"/>
          </rPr>
          <t xml:space="preserve">
Equivale a 11% do vencimento</t>
        </r>
      </text>
    </comment>
    <comment ref="G5" authorId="0" shapeId="0" xr:uid="{EA687770-C176-4CD0-9247-65BBE8BD1C52}">
      <text>
        <r>
          <rPr>
            <b/>
            <sz val="9"/>
            <color indexed="81"/>
            <rFont val="Tahoma"/>
            <family val="2"/>
          </rPr>
          <t xml:space="preserve">IRRF (sobre Vencimento)
</t>
        </r>
        <r>
          <rPr>
            <sz val="9"/>
            <color indexed="81"/>
            <rFont val="Tahoma"/>
            <family val="2"/>
          </rPr>
          <t>Vencimento: 
até 10.000,00="ISENTO"
Acima IRRF = 27,5%</t>
        </r>
      </text>
    </comment>
    <comment ref="H5" authorId="0" shapeId="0" xr:uid="{D1C0DE0E-D891-473E-8108-53934CEA52D3}">
      <text>
        <r>
          <rPr>
            <b/>
            <sz val="9"/>
            <color indexed="81"/>
            <rFont val="Tahoma"/>
            <family val="2"/>
          </rPr>
          <t>S. Liquido:</t>
        </r>
        <r>
          <rPr>
            <sz val="9"/>
            <color indexed="81"/>
            <rFont val="Tahoma"/>
            <family val="2"/>
          </rPr>
          <t xml:space="preserve">
=S.Bruto - INSS - IRRF</t>
        </r>
      </text>
    </comment>
  </commentList>
</comments>
</file>

<file path=xl/sharedStrings.xml><?xml version="1.0" encoding="utf-8"?>
<sst xmlns="http://schemas.openxmlformats.org/spreadsheetml/2006/main" count="915" uniqueCount="419">
  <si>
    <t>Nome</t>
  </si>
  <si>
    <t>Cidade</t>
  </si>
  <si>
    <t>Ana</t>
  </si>
  <si>
    <t>João</t>
  </si>
  <si>
    <t>Maria</t>
  </si>
  <si>
    <t>Produto</t>
  </si>
  <si>
    <t>Quantidade</t>
  </si>
  <si>
    <t>Preço Unitário</t>
  </si>
  <si>
    <t>Total</t>
  </si>
  <si>
    <t>Caneta</t>
  </si>
  <si>
    <t>Caderno</t>
  </si>
  <si>
    <t>Borracha</t>
  </si>
  <si>
    <t>Aluno</t>
  </si>
  <si>
    <t>Nota 1</t>
  </si>
  <si>
    <t>Nota 2</t>
  </si>
  <si>
    <t>Média</t>
  </si>
  <si>
    <t>Situação</t>
  </si>
  <si>
    <t>Lucas</t>
  </si>
  <si>
    <t>Bruna</t>
  </si>
  <si>
    <t>Letícia</t>
  </si>
  <si>
    <t>Presenças</t>
  </si>
  <si>
    <t>P</t>
  </si>
  <si>
    <t>F</t>
  </si>
  <si>
    <t>Carla</t>
  </si>
  <si>
    <t>Bruno</t>
  </si>
  <si>
    <t>Cargo</t>
  </si>
  <si>
    <t>Analista</t>
  </si>
  <si>
    <t>Gerente</t>
  </si>
  <si>
    <t>Estagiário</t>
  </si>
  <si>
    <t>Dia</t>
  </si>
  <si>
    <t>Tarefa</t>
  </si>
  <si>
    <t>Status</t>
  </si>
  <si>
    <t>Pagar contas</t>
  </si>
  <si>
    <t>Em aberto</t>
  </si>
  <si>
    <t>Comprar material</t>
  </si>
  <si>
    <t>Concluído</t>
  </si>
  <si>
    <t>Estudar para prova</t>
  </si>
  <si>
    <t>Valor</t>
  </si>
  <si>
    <t>Formate os preços como moeda (R$), use bordas e destaque o cabeçalho com fundo azul e letras brancas.</t>
  </si>
  <si>
    <t>Fórmulas e Funções Básicas</t>
  </si>
  <si>
    <t>Funções de Contagem e Condição</t>
  </si>
  <si>
    <t>=CONT.VALORES() → conta quantas células não estão vazias</t>
  </si>
  <si>
    <t>=CONT.SE(intervalo; critério) → conta com base em uma condição</t>
  </si>
  <si>
    <t>=CONT.VALORES(A2:A10) – Conta quantas pessoas responderam um formulário</t>
  </si>
  <si>
    <t xml:space="preserve"> =SOMA.SE(intervalo; critério; soma_intervalo) → soma com base em critério</t>
  </si>
  <si>
    <t>Exemplo: Cadastro com lista suspensa</t>
  </si>
  <si>
    <r>
      <t>Objetivo:</t>
    </r>
    <r>
      <rPr>
        <sz val="11"/>
        <color theme="1"/>
        <rFont val="Calibri"/>
        <family val="2"/>
        <scheme val="minor"/>
      </rPr>
      <t xml:space="preserve"> Destacar células automaticamente com base em critérios.</t>
    </r>
  </si>
  <si>
    <r>
      <t>Objetivo:</t>
    </r>
    <r>
      <rPr>
        <sz val="11"/>
        <color theme="1"/>
        <rFont val="Calibri"/>
        <family val="2"/>
        <scheme val="minor"/>
      </rPr>
      <t xml:space="preserve"> Trabalhar com datas e automatizar preenchimento de calendário.</t>
    </r>
  </si>
  <si>
    <r>
      <rPr>
        <b/>
        <sz val="11"/>
        <color indexed="8"/>
        <rFont val="Calibri"/>
        <family val="2"/>
      </rPr>
      <t>* SALDO:</t>
    </r>
    <r>
      <rPr>
        <sz val="11"/>
        <color theme="1"/>
        <rFont val="Calibri"/>
        <family val="2"/>
        <scheme val="minor"/>
      </rPr>
      <t xml:space="preserve"> SE "DÉBITO OU CRÉDITO" for igual a "D" então subtraia o saldo anterior com o montante,</t>
    </r>
  </si>
  <si>
    <t>C</t>
  </si>
  <si>
    <t>DEPOSITO</t>
  </si>
  <si>
    <t>D</t>
  </si>
  <si>
    <t>CH. 347</t>
  </si>
  <si>
    <t>ATM -2</t>
  </si>
  <si>
    <t>ATM -1</t>
  </si>
  <si>
    <t>E3-C4</t>
  </si>
  <si>
    <t>Senão</t>
  </si>
  <si>
    <t>TRANSF.</t>
  </si>
  <si>
    <t>E3+C4</t>
  </si>
  <si>
    <t>Então</t>
  </si>
  <si>
    <t>CH 346</t>
  </si>
  <si>
    <t>D4 = "C"</t>
  </si>
  <si>
    <t>Se</t>
  </si>
  <si>
    <t>CH. 345</t>
  </si>
  <si>
    <t>D4 = "D"</t>
  </si>
  <si>
    <t>SALDO</t>
  </si>
  <si>
    <t>DÉBITO OU CRÉDITO</t>
  </si>
  <si>
    <t>MONTANTE</t>
  </si>
  <si>
    <t>DOCUMENTO</t>
  </si>
  <si>
    <t>DATA</t>
  </si>
  <si>
    <t>EXTRATO BANCÁRIO</t>
  </si>
  <si>
    <r>
      <t>* INSS:</t>
    </r>
    <r>
      <rPr>
        <sz val="11"/>
        <color theme="1"/>
        <rFont val="Calibri"/>
        <family val="2"/>
        <scheme val="minor"/>
      </rPr>
      <t xml:space="preserve"> SE Valor-Receber for até 2000, calcular 10% de INSS, senão 20% de INSS (vide tabela acima)</t>
    </r>
  </si>
  <si>
    <r>
      <rPr>
        <b/>
        <sz val="11"/>
        <color indexed="8"/>
        <rFont val="Calibri"/>
        <family val="2"/>
      </rPr>
      <t>* Valor-Receber:</t>
    </r>
    <r>
      <rPr>
        <sz val="11"/>
        <color theme="1"/>
        <rFont val="Calibri"/>
        <family val="2"/>
        <scheme val="minor"/>
      </rPr>
      <t xml:space="preserve"> Valor-Hora * Qtde-Hora</t>
    </r>
  </si>
  <si>
    <r>
      <rPr>
        <b/>
        <sz val="11"/>
        <color indexed="8"/>
        <rFont val="Calibri"/>
        <family val="2"/>
      </rPr>
      <t>* Valor-Hora:</t>
    </r>
    <r>
      <rPr>
        <sz val="11"/>
        <color theme="1"/>
        <rFont val="Calibri"/>
        <family val="2"/>
        <scheme val="minor"/>
      </rPr>
      <t xml:space="preserve"> SE Cargo for igual Advogado, 23 reais, senão 25 reais. (vide tabela acima)</t>
    </r>
  </si>
  <si>
    <t xml:space="preserve">&gt; </t>
  </si>
  <si>
    <t>Auditor</t>
  </si>
  <si>
    <t>Advogado</t>
  </si>
  <si>
    <t>INSS</t>
  </si>
  <si>
    <t>Beatriz</t>
  </si>
  <si>
    <t>Renata</t>
  </si>
  <si>
    <t>Carlos</t>
  </si>
  <si>
    <t>Fábio</t>
  </si>
  <si>
    <t>Antônio</t>
  </si>
  <si>
    <t>José</t>
  </si>
  <si>
    <t>Paulo</t>
  </si>
  <si>
    <t>Valor-Receber</t>
  </si>
  <si>
    <t>Qtde-Hora</t>
  </si>
  <si>
    <t>Valor-Hora</t>
  </si>
  <si>
    <t>SALÁRIOS</t>
  </si>
  <si>
    <t>Outros Eventos</t>
  </si>
  <si>
    <t>Formaturas</t>
  </si>
  <si>
    <t>Casamento</t>
  </si>
  <si>
    <t>%</t>
  </si>
  <si>
    <t>N° Horas</t>
  </si>
  <si>
    <t>Evento</t>
  </si>
  <si>
    <t>Faturamento no 2° Trimestre</t>
  </si>
  <si>
    <t>F4 Atalho para refenrêcia absoluta</t>
  </si>
  <si>
    <t>Reuniões</t>
  </si>
  <si>
    <t>Trava a célula toda</t>
  </si>
  <si>
    <t>$D$3</t>
  </si>
  <si>
    <t>Trava a coluna</t>
  </si>
  <si>
    <t>$D 3</t>
  </si>
  <si>
    <t>Trava a Linha</t>
  </si>
  <si>
    <t>D$3</t>
  </si>
  <si>
    <t>$</t>
  </si>
  <si>
    <t>Faturamento no 1° Trimestre</t>
  </si>
  <si>
    <t>Preço por hora:</t>
  </si>
  <si>
    <t>Av. Jão Davino, 182 Mangabeiras CEP: 57106-020 Marció - AL</t>
  </si>
  <si>
    <t>Estúdio Fotográfico Mil POSES</t>
  </si>
  <si>
    <t>Kathleen Zeta</t>
  </si>
  <si>
    <t>Graciliano Júnior</t>
  </si>
  <si>
    <t>Melissa Melo</t>
  </si>
  <si>
    <t>Anísio Santana</t>
  </si>
  <si>
    <t>Marília Lima</t>
  </si>
  <si>
    <t>Antônio Carlos</t>
  </si>
  <si>
    <t>Mariângela Silva</t>
  </si>
  <si>
    <t xml:space="preserve">Pagamentos </t>
  </si>
  <si>
    <t>Alunos</t>
  </si>
  <si>
    <t>Controle de Pagamentos</t>
  </si>
  <si>
    <t>Future-Computer</t>
  </si>
  <si>
    <t>Salário Total -INSS - Refeição -IRRF</t>
  </si>
  <si>
    <t>Salário Líquido:</t>
  </si>
  <si>
    <t xml:space="preserve">Isento até R$1500,00 
Entre R$1500,00 e R$3000,00 7,5%
Salário Total maior que R$3000,00 27,5% </t>
  </si>
  <si>
    <t xml:space="preserve">IRRF: </t>
  </si>
  <si>
    <t>1,5% do Salário Total</t>
  </si>
  <si>
    <t>Refeição:</t>
  </si>
  <si>
    <t>11% do Salário Total</t>
  </si>
  <si>
    <t>INSS:</t>
  </si>
  <si>
    <t>Salário Bruto + Salário Família</t>
  </si>
  <si>
    <t>Salário Total:</t>
  </si>
  <si>
    <t>2% do Salário Bruto para cada filho</t>
  </si>
  <si>
    <t>Salário Família:</t>
  </si>
  <si>
    <t>Joaquim Augusto</t>
  </si>
  <si>
    <t>Faxineira</t>
  </si>
  <si>
    <t>Maria Aparecida Dias</t>
  </si>
  <si>
    <t>Secretária</t>
  </si>
  <si>
    <t>Silvia Maria Barbosa</t>
  </si>
  <si>
    <t>Assistente</t>
  </si>
  <si>
    <t>Jamile Abrahao Kalil</t>
  </si>
  <si>
    <t>Vendedor</t>
  </si>
  <si>
    <t>Claudio Martins</t>
  </si>
  <si>
    <t>Digitador</t>
  </si>
  <si>
    <t>João Jose de Jesus</t>
  </si>
  <si>
    <t>Luis Carlos da Silva</t>
  </si>
  <si>
    <t>Salário Líquido</t>
  </si>
  <si>
    <t>Refeição</t>
  </si>
  <si>
    <t>IRRF</t>
  </si>
  <si>
    <t>Salário Total</t>
  </si>
  <si>
    <t>Nº de Filhos</t>
  </si>
  <si>
    <t>Salário Família</t>
  </si>
  <si>
    <t>Salário Bruto</t>
  </si>
  <si>
    <t>Data de Admissão</t>
  </si>
  <si>
    <t>Funcionário</t>
  </si>
  <si>
    <t>Folha de Pagamento</t>
  </si>
  <si>
    <t>Estado</t>
  </si>
  <si>
    <t xml:space="preserve">Cidade </t>
  </si>
  <si>
    <t>Bairro</t>
  </si>
  <si>
    <t>Endereço</t>
  </si>
  <si>
    <t>Pedro</t>
  </si>
  <si>
    <t>Rubens</t>
  </si>
  <si>
    <t>MG</t>
  </si>
  <si>
    <t>Poços de Caldas</t>
  </si>
  <si>
    <t>Parque Industrial</t>
  </si>
  <si>
    <t>R. Minas Gerais, 67</t>
  </si>
  <si>
    <t>Tatiana</t>
  </si>
  <si>
    <t>RS</t>
  </si>
  <si>
    <t>Porto Alegre</t>
  </si>
  <si>
    <t>Vila Cláudia</t>
  </si>
  <si>
    <t>R. das Quaresemeiras, 810</t>
  </si>
  <si>
    <t>Sônia</t>
  </si>
  <si>
    <t>RJ</t>
  </si>
  <si>
    <t>Rio de Janeiro</t>
  </si>
  <si>
    <t>Centro</t>
  </si>
  <si>
    <t>Al. Dos Laranjais, 99</t>
  </si>
  <si>
    <t>SP</t>
  </si>
  <si>
    <t>Araras</t>
  </si>
  <si>
    <t>Belvedere</t>
  </si>
  <si>
    <t>Av. Limeira, 98</t>
  </si>
  <si>
    <t>Roberto</t>
  </si>
  <si>
    <t>Campinas</t>
  </si>
  <si>
    <t>Botafogo</t>
  </si>
  <si>
    <t>R. Sergipe, 765</t>
  </si>
  <si>
    <t>Ubatuba</t>
  </si>
  <si>
    <t>Praia Grande</t>
  </si>
  <si>
    <t>Rodovia Rio/São Paulo, km 77</t>
  </si>
  <si>
    <t>Gabriela</t>
  </si>
  <si>
    <t>Jd. Nova Campinas</t>
  </si>
  <si>
    <t>Av. Orozimbo Maia, 987</t>
  </si>
  <si>
    <t>Fernanda</t>
  </si>
  <si>
    <t>BA</t>
  </si>
  <si>
    <t>Salvador</t>
  </si>
  <si>
    <t>R. Tiradentes, 123</t>
  </si>
  <si>
    <t>Érica</t>
  </si>
  <si>
    <t>São Benedito</t>
  </si>
  <si>
    <t>R. Antônio Castro, 362</t>
  </si>
  <si>
    <t>Eduardo</t>
  </si>
  <si>
    <t>Leme</t>
  </si>
  <si>
    <t>Rodovia Anhanguera, km 180</t>
  </si>
  <si>
    <t>4 - Rosa</t>
  </si>
  <si>
    <t>3 - Beterraba</t>
  </si>
  <si>
    <t>2 - Maçã</t>
  </si>
  <si>
    <t>1 - Banana</t>
  </si>
  <si>
    <t>Valor de unitário</t>
  </si>
  <si>
    <t>Tabela Alimentos</t>
  </si>
  <si>
    <t>Tabela Produtos</t>
  </si>
  <si>
    <t>Prêmio Total: Some o Prêmio base com o Bônus</t>
  </si>
  <si>
    <t xml:space="preserve">Bônus Extra pela Classificação: Use a função Procv para localizar o Bônus do vencedor baseado na classificação. </t>
  </si>
  <si>
    <t>Prêmio Extra pela Classificação: Use a função Proch para localizar o Prêmio do vencedor baseado na classificação.</t>
  </si>
  <si>
    <t>Relógio</t>
  </si>
  <si>
    <t>Notebook</t>
  </si>
  <si>
    <t>Televisor</t>
  </si>
  <si>
    <t>Computador</t>
  </si>
  <si>
    <t>Moto</t>
  </si>
  <si>
    <t>Carro 0km</t>
  </si>
  <si>
    <t>Prêmio</t>
  </si>
  <si>
    <t>E</t>
  </si>
  <si>
    <t>B</t>
  </si>
  <si>
    <t>A</t>
  </si>
  <si>
    <t>Classificação</t>
  </si>
  <si>
    <t>Prêmio Extra</t>
  </si>
  <si>
    <t>Prêmio Total</t>
  </si>
  <si>
    <t>Bônus Extra pela Classificação</t>
  </si>
  <si>
    <t>Prêmio Extra pela Classificação</t>
  </si>
  <si>
    <t>Prêmio Base</t>
  </si>
  <si>
    <t>Bônus Extra</t>
  </si>
  <si>
    <t>Nome do Vencedor</t>
  </si>
  <si>
    <t>Sorteio</t>
  </si>
  <si>
    <t>CLEITON</t>
  </si>
  <si>
    <t>MARIA</t>
  </si>
  <si>
    <t>PAULO</t>
  </si>
  <si>
    <t>ANDRÉ</t>
  </si>
  <si>
    <t xml:space="preserve">CARLOS </t>
  </si>
  <si>
    <t>SALÁRIO</t>
  </si>
  <si>
    <t>NOME</t>
  </si>
  <si>
    <t>CÓD FUNCIONÁRIO</t>
  </si>
  <si>
    <t>Fonte ATX 400W</t>
  </si>
  <si>
    <t>Gabinete</t>
  </si>
  <si>
    <t>Proc I3</t>
  </si>
  <si>
    <t>Proc I7</t>
  </si>
  <si>
    <t>Monitor LCD 15</t>
  </si>
  <si>
    <t>HD 120 GB</t>
  </si>
  <si>
    <t>Teclado</t>
  </si>
  <si>
    <t>Mouse</t>
  </si>
  <si>
    <t>Lucro</t>
  </si>
  <si>
    <t>Valor de Revenda</t>
  </si>
  <si>
    <t>Valor total</t>
  </si>
  <si>
    <t>Tadeu</t>
  </si>
  <si>
    <t>Total de pessoas listadas</t>
  </si>
  <si>
    <t xml:space="preserve"> =CONT.VALORES(intervalo)</t>
  </si>
  <si>
    <t>Hugo</t>
  </si>
  <si>
    <t>Quantas pessoas NÃO contribuiram para o evento?</t>
  </si>
  <si>
    <t>Kátia</t>
  </si>
  <si>
    <t xml:space="preserve"> =CONTAR.VAZIO(intervalor)</t>
  </si>
  <si>
    <t>Rita</t>
  </si>
  <si>
    <t>Osmar</t>
  </si>
  <si>
    <t>Quantas pessoas contribuiram para o evento?</t>
  </si>
  <si>
    <t xml:space="preserve"> =CONT.NÚM(intervalo)</t>
  </si>
  <si>
    <t>Contribuição</t>
  </si>
  <si>
    <t>pera</t>
  </si>
  <si>
    <t>Adriana</t>
  </si>
  <si>
    <t>melão</t>
  </si>
  <si>
    <t>Luciana</t>
  </si>
  <si>
    <t>André</t>
  </si>
  <si>
    <t>&gt;10</t>
  </si>
  <si>
    <t>mamão</t>
  </si>
  <si>
    <t>Nº de Pedidos</t>
  </si>
  <si>
    <t>QTDE</t>
  </si>
  <si>
    <t>Abacate</t>
  </si>
  <si>
    <t>Número de pedidos com quantidade acima de 10</t>
  </si>
  <si>
    <t>SC</t>
  </si>
  <si>
    <t>CE</t>
  </si>
  <si>
    <t>PI</t>
  </si>
  <si>
    <t>uva</t>
  </si>
  <si>
    <t>maçã</t>
  </si>
  <si>
    <t>Soma Total</t>
  </si>
  <si>
    <t>Total QTDE</t>
  </si>
  <si>
    <t>Pi</t>
  </si>
  <si>
    <t>somase</t>
  </si>
  <si>
    <t>Cont.se</t>
  </si>
  <si>
    <t>Qtde</t>
  </si>
  <si>
    <t>Uva</t>
  </si>
  <si>
    <t>H3</t>
  </si>
  <si>
    <t>Critério 3</t>
  </si>
  <si>
    <t>Mamão</t>
  </si>
  <si>
    <t>C2:C30</t>
  </si>
  <si>
    <t>Intervalo de critério 3</t>
  </si>
  <si>
    <t>Médiases</t>
  </si>
  <si>
    <t>I2</t>
  </si>
  <si>
    <t>Critério 2</t>
  </si>
  <si>
    <t>B2:B30</t>
  </si>
  <si>
    <t>Intervalo de critério 2</t>
  </si>
  <si>
    <t>H2</t>
  </si>
  <si>
    <t>Critério</t>
  </si>
  <si>
    <t>A2:A30</t>
  </si>
  <si>
    <t>Intervalo de critério</t>
  </si>
  <si>
    <t>D2:D30</t>
  </si>
  <si>
    <t xml:space="preserve">Intervalo de Soma </t>
  </si>
  <si>
    <t>somases(intervaloSoma; IntervaloCritério, Critério)</t>
  </si>
  <si>
    <t>somase(Intervalor;Critério;IntervaloSoma)</t>
  </si>
  <si>
    <t xml:space="preserve">SC Uva </t>
  </si>
  <si>
    <t>RJ Qtd &lt;=18</t>
  </si>
  <si>
    <t>Marcos</t>
  </si>
  <si>
    <t xml:space="preserve">RS Marcos </t>
  </si>
  <si>
    <t>SP Abacate</t>
  </si>
  <si>
    <t>Contagens</t>
  </si>
  <si>
    <t>Osvaldo</t>
  </si>
  <si>
    <t>abacate</t>
  </si>
  <si>
    <t>Soma</t>
  </si>
  <si>
    <t>Contagem</t>
  </si>
  <si>
    <t>MAMÃO com QTD&gt;10</t>
  </si>
  <si>
    <t>MARCOS SC</t>
  </si>
  <si>
    <t>MARCOS SP</t>
  </si>
  <si>
    <t>Resultado Esperado</t>
  </si>
  <si>
    <t>Resultado</t>
  </si>
  <si>
    <t>FUNÇAO =CONT.SES(intervalo1;critério1;intervalo2;critério2...intervalo127;critério127)</t>
  </si>
  <si>
    <t>OSVALDO</t>
  </si>
  <si>
    <t>FUNÇAO =SOMASE(intervalo;critério;intervalo_soma)</t>
  </si>
  <si>
    <t>QTDE &gt; 20</t>
  </si>
  <si>
    <t>MARCOS</t>
  </si>
  <si>
    <t>FUNÇAO =CONT.SE(intervalo;critério)</t>
  </si>
  <si>
    <t>Auxiliar Serviços Gerais</t>
  </si>
  <si>
    <t>Dias Gonçalves</t>
  </si>
  <si>
    <t>Cozinheira</t>
  </si>
  <si>
    <t>Marta da Costa</t>
  </si>
  <si>
    <t>Digitadora</t>
  </si>
  <si>
    <t>Ellen Goldenberg</t>
  </si>
  <si>
    <t>Niccole de Queirós</t>
  </si>
  <si>
    <t>SE (Vencimento até 10.000)
ENTÃO (Calcular IRRF a 0%)
SENÃO (Calcular IRRF a 27,5%)</t>
  </si>
  <si>
    <t>Operadora de Computador</t>
  </si>
  <si>
    <t>Lidia Dumont</t>
  </si>
  <si>
    <t>SE...ENTÃO...SENÃO...</t>
  </si>
  <si>
    <t>Técnico em Informática</t>
  </si>
  <si>
    <t>Adálton Gomes</t>
  </si>
  <si>
    <t>WebDesigner</t>
  </si>
  <si>
    <t>Angelina Barreto</t>
  </si>
  <si>
    <t>C6*$K$4</t>
  </si>
  <si>
    <t>VALOR_SE_FALSO:</t>
  </si>
  <si>
    <t>Programador de Computador</t>
  </si>
  <si>
    <t>Patrick Dilon</t>
  </si>
  <si>
    <t>C6*$K$3</t>
  </si>
  <si>
    <t>VALOR_SE_VERDADEIRO:</t>
  </si>
  <si>
    <t>Administrador de Redes</t>
  </si>
  <si>
    <t>Jâder Brow</t>
  </si>
  <si>
    <t>C6&lt;=$J$3</t>
  </si>
  <si>
    <t>TESTE_LOGICO:</t>
  </si>
  <si>
    <t>WebMaster</t>
  </si>
  <si>
    <t>Sâmia Linspector</t>
  </si>
  <si>
    <t>Função SE - Argumentos:</t>
  </si>
  <si>
    <t>Analista de Sistemas</t>
  </si>
  <si>
    <t>Nadja Seara</t>
  </si>
  <si>
    <t>S. Líquido</t>
  </si>
  <si>
    <t>S.Bruto</t>
  </si>
  <si>
    <t>Aux. Transporte</t>
  </si>
  <si>
    <t>Vencimento</t>
  </si>
  <si>
    <t>Funcionários</t>
  </si>
  <si>
    <t>Folha de Pagamentos</t>
  </si>
  <si>
    <t>% IRRF</t>
  </si>
  <si>
    <t>Data e Hora:</t>
  </si>
  <si>
    <t>Aux Transporte</t>
  </si>
  <si>
    <t>Auxiliar de IRRF</t>
  </si>
  <si>
    <t>UMBRELLA CORPORATION</t>
  </si>
  <si>
    <t>Fev</t>
  </si>
  <si>
    <t>Dezembro</t>
  </si>
  <si>
    <t>Seg</t>
  </si>
  <si>
    <t>Segunda-feira</t>
  </si>
  <si>
    <t>Jan</t>
  </si>
  <si>
    <t>Dom</t>
  </si>
  <si>
    <t>Domingo</t>
  </si>
  <si>
    <t>Dez</t>
  </si>
  <si>
    <t>Novembro</t>
  </si>
  <si>
    <t>Sáb</t>
  </si>
  <si>
    <t>Sábado</t>
  </si>
  <si>
    <t>Nov</t>
  </si>
  <si>
    <t>Sex</t>
  </si>
  <si>
    <t>Sexta-feira</t>
  </si>
  <si>
    <t>Out</t>
  </si>
  <si>
    <t>Outubro</t>
  </si>
  <si>
    <t>Qui</t>
  </si>
  <si>
    <t>Quinta-feira</t>
  </si>
  <si>
    <t>Set</t>
  </si>
  <si>
    <t>Qua</t>
  </si>
  <si>
    <t>Quarta-feira</t>
  </si>
  <si>
    <t>Ago</t>
  </si>
  <si>
    <t>Setembro</t>
  </si>
  <si>
    <t>Ter</t>
  </si>
  <si>
    <t>Terça-feira</t>
  </si>
  <si>
    <t>Jul</t>
  </si>
  <si>
    <t>Jun</t>
  </si>
  <si>
    <t>Agosto</t>
  </si>
  <si>
    <t>Mai</t>
  </si>
  <si>
    <t>Abr</t>
  </si>
  <si>
    <t>Julho</t>
  </si>
  <si>
    <t>Mar</t>
  </si>
  <si>
    <t>Junho</t>
  </si>
  <si>
    <t>Maio</t>
  </si>
  <si>
    <t>Abril</t>
  </si>
  <si>
    <t>Março</t>
  </si>
  <si>
    <t>ótimo</t>
  </si>
  <si>
    <t>Fevereiro</t>
  </si>
  <si>
    <t>bom</t>
  </si>
  <si>
    <t>ruim</t>
  </si>
  <si>
    <t>Janeiro</t>
  </si>
  <si>
    <t>péssimo</t>
  </si>
  <si>
    <t>Código</t>
  </si>
  <si>
    <t>Cliente</t>
  </si>
  <si>
    <t>Valor compra</t>
  </si>
  <si>
    <t>Data Pagamento</t>
  </si>
  <si>
    <t>Lívia Monteiro</t>
  </si>
  <si>
    <t>Caio Fernandes</t>
  </si>
  <si>
    <t>Rafaela Duarte</t>
  </si>
  <si>
    <t>Lucas Azevedo</t>
  </si>
  <si>
    <t>Isabela Nunes</t>
  </si>
  <si>
    <t>Thiago Ramos</t>
  </si>
  <si>
    <t>Natália Borges</t>
  </si>
  <si>
    <t>Henrique Vidal</t>
  </si>
  <si>
    <t>André Almeida</t>
  </si>
  <si>
    <t>Maria Antonieta</t>
  </si>
  <si>
    <t>Pago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</si>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</sst>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$&quot;\ * #,##0.00_-;\-&quot;R$&quot;\ * #,##0.00_-;_-&quot;R$&quot;\ * &quot;-&quot;??_-;_-@_-"/>
    <numFmt numFmtId="43" formatCode="_-* #,##0.00_-;\-* #,##0.00_-;_-* &quot;-&quot;??_-;_-@_-"/>
    <numFmt numFmtId="168" formatCode="_(&quot;R$ &quot;* #,##0.00_);_(&quot;R$ &quot;* \(#,##0.00\);_(&quot;R$ &quot;* &quot;-&quot;??_);_(@_)"/>
    <numFmt numFmtId="169" formatCode="dd/mm/yy;@"/>
    <numFmt numFmtId="170" formatCode="_-&quot;R$&quot;* #,##0.00_-;\-&quot;R$&quot;* #,##0.00_-;_-&quot;R$&quot;* &quot;-&quot;??_-;_-@_-"/>
    <numFmt numFmtId="171" formatCode="_(* #,##0.00_);_(* \(#,##0.00\);_(* &quot;-&quot;??_);_(@_)"/>
    <numFmt numFmtId="172" formatCode="0.0%"/>
    <numFmt numFmtId="173" formatCode="000.000.0000\ "/>
  </numFmts>
  <fonts count="32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</font>
    <font>
      <b/>
      <sz val="11"/>
      <name val="Calibri"/>
      <family val="2"/>
    </font>
    <font>
      <b/>
      <sz val="11"/>
      <color indexed="8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indexed="8"/>
      <name val="Calibri"/>
      <family val="2"/>
    </font>
    <font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sz val="11"/>
      <color theme="2" tint="-0.499984740745262"/>
      <name val="Calibri"/>
      <family val="2"/>
      <scheme val="minor"/>
    </font>
    <font>
      <b/>
      <sz val="16"/>
      <color theme="2" tint="-0.499984740745262"/>
      <name val="Calibri"/>
      <family val="2"/>
      <scheme val="minor"/>
    </font>
    <font>
      <sz val="10"/>
      <name val="Arial"/>
      <family val="2"/>
    </font>
    <font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16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rial"/>
      <family val="2"/>
    </font>
    <font>
      <sz val="11"/>
      <name val="Microsoft Sans Serif"/>
      <family val="2"/>
    </font>
    <font>
      <b/>
      <sz val="11"/>
      <color indexed="9"/>
      <name val="Microsoft Sans Serif"/>
      <family val="2"/>
    </font>
    <font>
      <b/>
      <sz val="12"/>
      <name val="Arial"/>
      <family val="2"/>
    </font>
    <font>
      <b/>
      <sz val="9"/>
      <name val="Arial"/>
      <family val="2"/>
    </font>
    <font>
      <b/>
      <sz val="10"/>
      <color indexed="18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0">
    <fill>
      <patternFill patternType="none"/>
    </fill>
    <fill>
      <patternFill patternType="gray125"/>
    </fill>
    <fill>
      <patternFill patternType="solid">
        <fgColor rgb="FFCCE5FF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" fillId="3" borderId="0" applyNumberFormat="0" applyBorder="0" applyAlignment="0" applyProtection="0"/>
    <xf numFmtId="44" fontId="11" fillId="0" borderId="0" applyFont="0" applyFill="0" applyBorder="0" applyAlignment="0" applyProtection="0"/>
    <xf numFmtId="168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1" fontId="16" fillId="0" borderId="0" applyFont="0" applyFill="0" applyBorder="0" applyAlignment="0" applyProtection="0"/>
  </cellStyleXfs>
  <cellXfs count="163">
    <xf numFmtId="0" fontId="0" fillId="0" borderId="0" xfId="0"/>
    <xf numFmtId="0" fontId="1" fillId="2" borderId="0" xfId="0" applyFont="1" applyFill="1"/>
    <xf numFmtId="0" fontId="6" fillId="0" borderId="0" xfId="0" applyFont="1"/>
    <xf numFmtId="0" fontId="7" fillId="2" borderId="0" xfId="0" applyFont="1" applyFill="1"/>
    <xf numFmtId="0" fontId="4" fillId="0" borderId="0" xfId="0" applyFont="1"/>
    <xf numFmtId="168" fontId="0" fillId="0" borderId="1" xfId="0" applyNumberFormat="1" applyBorder="1"/>
    <xf numFmtId="0" fontId="0" fillId="0" borderId="2" xfId="0" applyBorder="1" applyAlignment="1">
      <alignment horizontal="center"/>
    </xf>
    <xf numFmtId="168" fontId="0" fillId="0" borderId="2" xfId="0" applyNumberFormat="1" applyBorder="1"/>
    <xf numFmtId="0" fontId="0" fillId="0" borderId="2" xfId="0" applyBorder="1"/>
    <xf numFmtId="169" fontId="0" fillId="0" borderId="3" xfId="0" applyNumberFormat="1" applyBorder="1"/>
    <xf numFmtId="0" fontId="0" fillId="0" borderId="1" xfId="0" applyBorder="1" applyAlignment="1">
      <alignment horizontal="center"/>
    </xf>
    <xf numFmtId="0" fontId="0" fillId="0" borderId="1" xfId="0" applyBorder="1"/>
    <xf numFmtId="169" fontId="0" fillId="0" borderId="4" xfId="0" applyNumberFormat="1" applyBorder="1"/>
    <xf numFmtId="0" fontId="9" fillId="0" borderId="0" xfId="0" applyFont="1"/>
    <xf numFmtId="168" fontId="0" fillId="0" borderId="5" xfId="0" applyNumberFormat="1" applyBorder="1"/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4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9" fontId="0" fillId="0" borderId="11" xfId="0" applyNumberFormat="1" applyBorder="1"/>
    <xf numFmtId="0" fontId="0" fillId="0" borderId="11" xfId="0" applyBorder="1"/>
    <xf numFmtId="44" fontId="2" fillId="0" borderId="11" xfId="2" applyFont="1" applyBorder="1"/>
    <xf numFmtId="0" fontId="0" fillId="0" borderId="11" xfId="0" applyBorder="1" applyAlignment="1">
      <alignment horizontal="center"/>
    </xf>
    <xf numFmtId="168" fontId="0" fillId="0" borderId="11" xfId="0" applyNumberFormat="1" applyBorder="1"/>
    <xf numFmtId="0" fontId="0" fillId="0" borderId="11" xfId="0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44" fontId="0" fillId="0" borderId="11" xfId="0" applyNumberFormat="1" applyBorder="1"/>
    <xf numFmtId="0" fontId="0" fillId="0" borderId="11" xfId="0" applyBorder="1" applyAlignment="1">
      <alignment horizontal="right"/>
    </xf>
    <xf numFmtId="44" fontId="0" fillId="0" borderId="11" xfId="2" applyFont="1" applyBorder="1"/>
    <xf numFmtId="0" fontId="8" fillId="0" borderId="11" xfId="0" applyFont="1" applyBorder="1" applyAlignment="1">
      <alignment horizontal="center"/>
    </xf>
    <xf numFmtId="44" fontId="4" fillId="0" borderId="11" xfId="0" applyNumberFormat="1" applyFont="1" applyBorder="1"/>
    <xf numFmtId="0" fontId="4" fillId="0" borderId="11" xfId="0" applyFont="1" applyBorder="1" applyAlignment="1">
      <alignment horizontal="center"/>
    </xf>
    <xf numFmtId="0" fontId="4" fillId="0" borderId="11" xfId="0" applyFont="1" applyBorder="1"/>
    <xf numFmtId="0" fontId="12" fillId="0" borderId="11" xfId="0" applyFont="1" applyBorder="1" applyAlignment="1">
      <alignment horizontal="center"/>
    </xf>
    <xf numFmtId="0" fontId="4" fillId="4" borderId="13" xfId="0" applyFont="1" applyFill="1" applyBorder="1" applyAlignment="1">
      <alignment horizontal="center"/>
    </xf>
    <xf numFmtId="0" fontId="4" fillId="4" borderId="14" xfId="0" applyFont="1" applyFill="1" applyBorder="1" applyAlignment="1">
      <alignment horizontal="center"/>
    </xf>
    <xf numFmtId="0" fontId="4" fillId="4" borderId="15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0" fontId="4" fillId="0" borderId="11" xfId="0" applyNumberFormat="1" applyFont="1" applyBorder="1"/>
    <xf numFmtId="44" fontId="0" fillId="0" borderId="0" xfId="0" applyNumberFormat="1"/>
    <xf numFmtId="10" fontId="0" fillId="0" borderId="11" xfId="0" applyNumberFormat="1" applyBorder="1"/>
    <xf numFmtId="0" fontId="12" fillId="0" borderId="16" xfId="0" applyFont="1" applyBorder="1" applyAlignment="1">
      <alignment horizontal="center"/>
    </xf>
    <xf numFmtId="0" fontId="0" fillId="0" borderId="11" xfId="0" applyBorder="1" applyAlignment="1">
      <alignment wrapText="1"/>
    </xf>
    <xf numFmtId="0" fontId="4" fillId="0" borderId="13" xfId="0" applyFont="1" applyBorder="1" applyAlignment="1">
      <alignment horizontal="center" wrapText="1"/>
    </xf>
    <xf numFmtId="0" fontId="4" fillId="0" borderId="15" xfId="0" applyFont="1" applyBorder="1" applyAlignment="1">
      <alignment horizontal="center" wrapText="1"/>
    </xf>
    <xf numFmtId="0" fontId="13" fillId="5" borderId="11" xfId="0" applyFont="1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168" fontId="0" fillId="8" borderId="17" xfId="6" applyFont="1" applyFill="1" applyBorder="1"/>
    <xf numFmtId="0" fontId="0" fillId="0" borderId="17" xfId="0" applyBorder="1" applyAlignment="1">
      <alignment horizontal="center"/>
    </xf>
    <xf numFmtId="168" fontId="0" fillId="0" borderId="17" xfId="6" applyFont="1" applyBorder="1"/>
    <xf numFmtId="0" fontId="0" fillId="0" borderId="17" xfId="0" applyBorder="1"/>
    <xf numFmtId="14" fontId="0" fillId="0" borderId="17" xfId="0" applyNumberFormat="1" applyBorder="1"/>
    <xf numFmtId="0" fontId="14" fillId="0" borderId="17" xfId="0" applyFont="1" applyBorder="1" applyAlignment="1">
      <alignment horizontal="center" vertical="center" wrapText="1"/>
    </xf>
    <xf numFmtId="0" fontId="15" fillId="8" borderId="0" xfId="0" applyFont="1" applyFill="1" applyAlignment="1">
      <alignment horizontal="center"/>
    </xf>
    <xf numFmtId="0" fontId="8" fillId="0" borderId="11" xfId="0" applyFont="1" applyBorder="1"/>
    <xf numFmtId="0" fontId="0" fillId="0" borderId="18" xfId="0" applyBorder="1"/>
    <xf numFmtId="0" fontId="0" fillId="0" borderId="19" xfId="0" applyBorder="1"/>
    <xf numFmtId="0" fontId="0" fillId="0" borderId="3" xfId="0" applyBorder="1"/>
    <xf numFmtId="0" fontId="16" fillId="0" borderId="3" xfId="0" applyFont="1" applyBorder="1"/>
    <xf numFmtId="0" fontId="0" fillId="0" borderId="20" xfId="0" applyBorder="1"/>
    <xf numFmtId="0" fontId="0" fillId="0" borderId="4" xfId="0" applyBorder="1"/>
    <xf numFmtId="0" fontId="16" fillId="0" borderId="21" xfId="0" applyFont="1" applyBorder="1"/>
    <xf numFmtId="0" fontId="0" fillId="0" borderId="22" xfId="0" applyBorder="1"/>
    <xf numFmtId="0" fontId="16" fillId="0" borderId="0" xfId="0" applyFont="1"/>
    <xf numFmtId="0" fontId="0" fillId="9" borderId="0" xfId="0" applyFill="1" applyAlignment="1">
      <alignment horizontal="left"/>
    </xf>
    <xf numFmtId="0" fontId="0" fillId="9" borderId="0" xfId="0" applyFill="1" applyAlignment="1">
      <alignment horizontal="left" wrapText="1"/>
    </xf>
    <xf numFmtId="0" fontId="0" fillId="10" borderId="11" xfId="0" applyFill="1" applyBorder="1" applyAlignment="1">
      <alignment horizontal="center"/>
    </xf>
    <xf numFmtId="0" fontId="0" fillId="10" borderId="11" xfId="0" applyFill="1" applyBorder="1"/>
    <xf numFmtId="170" fontId="0" fillId="0" borderId="11" xfId="7" applyFont="1" applyBorder="1"/>
    <xf numFmtId="0" fontId="0" fillId="10" borderId="11" xfId="0" applyFill="1" applyBorder="1" applyAlignment="1">
      <alignment horizontal="center"/>
    </xf>
    <xf numFmtId="0" fontId="0" fillId="10" borderId="0" xfId="0" applyFill="1" applyAlignment="1">
      <alignment horizontal="center"/>
    </xf>
    <xf numFmtId="44" fontId="17" fillId="11" borderId="11" xfId="2" applyFont="1" applyFill="1" applyBorder="1" applyAlignment="1">
      <alignment horizontal="center" vertical="center"/>
    </xf>
    <xf numFmtId="0" fontId="17" fillId="11" borderId="11" xfId="0" applyFont="1" applyFill="1" applyBorder="1" applyAlignment="1">
      <alignment horizontal="center" vertical="center"/>
    </xf>
    <xf numFmtId="0" fontId="18" fillId="3" borderId="0" xfId="4" applyFont="1" applyAlignment="1">
      <alignment horizontal="center" vertical="center"/>
    </xf>
    <xf numFmtId="0" fontId="19" fillId="12" borderId="0" xfId="0" applyFont="1" applyFill="1" applyAlignment="1">
      <alignment horizontal="center" vertical="center"/>
    </xf>
    <xf numFmtId="0" fontId="20" fillId="12" borderId="11" xfId="0" applyFont="1" applyFill="1" applyBorder="1" applyAlignment="1">
      <alignment vertical="center"/>
    </xf>
    <xf numFmtId="44" fontId="20" fillId="12" borderId="11" xfId="0" applyNumberFormat="1" applyFont="1" applyFill="1" applyBorder="1" applyAlignment="1">
      <alignment vertical="center"/>
    </xf>
    <xf numFmtId="0" fontId="20" fillId="12" borderId="11" xfId="0" applyFont="1" applyFill="1" applyBorder="1" applyAlignment="1">
      <alignment horizontal="center" vertical="center"/>
    </xf>
    <xf numFmtId="0" fontId="20" fillId="0" borderId="11" xfId="0" applyFont="1" applyBorder="1" applyAlignment="1">
      <alignment vertical="center"/>
    </xf>
    <xf numFmtId="44" fontId="20" fillId="0" borderId="11" xfId="0" applyNumberFormat="1" applyFont="1" applyBorder="1" applyAlignment="1">
      <alignment vertical="center"/>
    </xf>
    <xf numFmtId="0" fontId="20" fillId="0" borderId="11" xfId="0" applyFont="1" applyBorder="1" applyAlignment="1">
      <alignment horizontal="center" vertical="center"/>
    </xf>
    <xf numFmtId="0" fontId="21" fillId="11" borderId="11" xfId="0" applyFont="1" applyFill="1" applyBorder="1" applyAlignment="1">
      <alignment vertical="center"/>
    </xf>
    <xf numFmtId="9" fontId="20" fillId="0" borderId="11" xfId="3" applyFont="1" applyBorder="1" applyAlignment="1">
      <alignment horizontal="center" vertical="center"/>
    </xf>
    <xf numFmtId="0" fontId="20" fillId="12" borderId="11" xfId="0" applyFont="1" applyFill="1" applyBorder="1" applyAlignment="1">
      <alignment horizontal="center" vertical="center" wrapText="1"/>
    </xf>
    <xf numFmtId="0" fontId="22" fillId="0" borderId="7" xfId="0" applyFont="1" applyBorder="1" applyAlignment="1">
      <alignment horizontal="center"/>
    </xf>
    <xf numFmtId="0" fontId="22" fillId="0" borderId="0" xfId="0" applyFont="1"/>
    <xf numFmtId="0" fontId="22" fillId="13" borderId="11" xfId="0" applyFont="1" applyFill="1" applyBorder="1" applyAlignment="1">
      <alignment horizontal="center"/>
    </xf>
    <xf numFmtId="0" fontId="23" fillId="0" borderId="0" xfId="0" applyFont="1"/>
    <xf numFmtId="44" fontId="23" fillId="0" borderId="11" xfId="2" applyFont="1" applyBorder="1"/>
    <xf numFmtId="0" fontId="23" fillId="0" borderId="11" xfId="0" applyFont="1" applyBorder="1" applyAlignment="1">
      <alignment horizontal="center"/>
    </xf>
    <xf numFmtId="0" fontId="23" fillId="0" borderId="11" xfId="0" applyFont="1" applyBorder="1"/>
    <xf numFmtId="0" fontId="24" fillId="14" borderId="11" xfId="0" applyFont="1" applyFill="1" applyBorder="1" applyAlignment="1">
      <alignment horizontal="center" vertical="center"/>
    </xf>
    <xf numFmtId="44" fontId="23" fillId="0" borderId="11" xfId="2" applyFont="1" applyBorder="1" applyAlignment="1">
      <alignment horizontal="center"/>
    </xf>
    <xf numFmtId="0" fontId="24" fillId="14" borderId="16" xfId="0" applyFont="1" applyFill="1" applyBorder="1" applyAlignment="1">
      <alignment horizontal="center" vertical="center"/>
    </xf>
    <xf numFmtId="0" fontId="3" fillId="0" borderId="0" xfId="0" applyFont="1"/>
    <xf numFmtId="44" fontId="0" fillId="0" borderId="0" xfId="2" applyFont="1"/>
    <xf numFmtId="0" fontId="0" fillId="0" borderId="13" xfId="0" applyBorder="1" applyAlignment="1">
      <alignment horizontal="right"/>
    </xf>
    <xf numFmtId="0" fontId="0" fillId="0" borderId="15" xfId="0" applyBorder="1" applyAlignment="1">
      <alignment horizontal="right"/>
    </xf>
    <xf numFmtId="0" fontId="16" fillId="15" borderId="2" xfId="0" applyFont="1" applyFill="1" applyBorder="1" applyAlignment="1">
      <alignment horizontal="center" vertical="center"/>
    </xf>
    <xf numFmtId="44" fontId="2" fillId="0" borderId="23" xfId="2" applyBorder="1"/>
    <xf numFmtId="0" fontId="0" fillId="0" borderId="23" xfId="0" applyBorder="1"/>
    <xf numFmtId="0" fontId="0" fillId="0" borderId="23" xfId="0" applyBorder="1" applyAlignment="1">
      <alignment horizontal="center"/>
    </xf>
    <xf numFmtId="0" fontId="0" fillId="0" borderId="12" xfId="0" applyBorder="1"/>
    <xf numFmtId="0" fontId="16" fillId="15" borderId="1" xfId="0" applyFont="1" applyFill="1" applyBorder="1" applyAlignment="1">
      <alignment horizontal="center" vertical="center"/>
    </xf>
    <xf numFmtId="44" fontId="2" fillId="0" borderId="24" xfId="2" applyBorder="1" applyAlignment="1"/>
    <xf numFmtId="44" fontId="2" fillId="0" borderId="24" xfId="2" applyBorder="1"/>
    <xf numFmtId="0" fontId="0" fillId="0" borderId="24" xfId="0" applyBorder="1"/>
    <xf numFmtId="0" fontId="0" fillId="0" borderId="24" xfId="0" applyBorder="1" applyAlignment="1">
      <alignment horizontal="center"/>
    </xf>
    <xf numFmtId="0" fontId="0" fillId="0" borderId="25" xfId="0" applyBorder="1"/>
    <xf numFmtId="0" fontId="16" fillId="15" borderId="5" xfId="0" applyFont="1" applyFill="1" applyBorder="1" applyAlignment="1">
      <alignment horizontal="center" vertical="center"/>
    </xf>
    <xf numFmtId="0" fontId="25" fillId="16" borderId="7" xfId="0" applyFont="1" applyFill="1" applyBorder="1" applyAlignment="1">
      <alignment horizontal="center" vertical="center"/>
    </xf>
    <xf numFmtId="44" fontId="0" fillId="15" borderId="2" xfId="2" applyFont="1" applyFill="1" applyBorder="1" applyAlignment="1">
      <alignment horizontal="center" vertical="center"/>
    </xf>
    <xf numFmtId="44" fontId="0" fillId="15" borderId="1" xfId="2" applyFont="1" applyFill="1" applyBorder="1" applyAlignment="1">
      <alignment horizontal="center" vertical="center"/>
    </xf>
    <xf numFmtId="0" fontId="0" fillId="15" borderId="20" xfId="0" applyFill="1" applyBorder="1" applyAlignment="1">
      <alignment horizontal="center" vertical="center"/>
    </xf>
    <xf numFmtId="0" fontId="22" fillId="15" borderId="11" xfId="0" applyFont="1" applyFill="1" applyBorder="1"/>
    <xf numFmtId="0" fontId="26" fillId="0" borderId="11" xfId="0" applyFont="1" applyBorder="1"/>
    <xf numFmtId="0" fontId="22" fillId="0" borderId="11" xfId="0" applyFont="1" applyBorder="1" applyAlignment="1">
      <alignment horizontal="center"/>
    </xf>
    <xf numFmtId="0" fontId="22" fillId="15" borderId="11" xfId="0" applyFont="1" applyFill="1" applyBorder="1" applyAlignment="1">
      <alignment horizontal="center"/>
    </xf>
    <xf numFmtId="0" fontId="25" fillId="16" borderId="13" xfId="0" applyFont="1" applyFill="1" applyBorder="1" applyAlignment="1">
      <alignment horizontal="center"/>
    </xf>
    <xf numFmtId="0" fontId="25" fillId="16" borderId="14" xfId="0" applyFont="1" applyFill="1" applyBorder="1" applyAlignment="1">
      <alignment horizontal="center"/>
    </xf>
    <xf numFmtId="0" fontId="25" fillId="16" borderId="15" xfId="0" applyFont="1" applyFill="1" applyBorder="1" applyAlignment="1">
      <alignment horizontal="center"/>
    </xf>
    <xf numFmtId="44" fontId="0" fillId="0" borderId="11" xfId="2" applyFont="1" applyBorder="1" applyAlignment="1">
      <alignment horizontal="center"/>
    </xf>
    <xf numFmtId="171" fontId="22" fillId="15" borderId="11" xfId="8" applyFont="1" applyFill="1" applyBorder="1" applyAlignment="1"/>
    <xf numFmtId="0" fontId="22" fillId="15" borderId="11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44" fontId="2" fillId="0" borderId="26" xfId="2" applyBorder="1"/>
    <xf numFmtId="0" fontId="0" fillId="0" borderId="26" xfId="0" applyBorder="1"/>
    <xf numFmtId="0" fontId="0" fillId="0" borderId="26" xfId="0" applyBorder="1" applyAlignment="1">
      <alignment horizontal="center"/>
    </xf>
    <xf numFmtId="0" fontId="0" fillId="0" borderId="27" xfId="0" applyBorder="1"/>
    <xf numFmtId="0" fontId="27" fillId="13" borderId="11" xfId="0" quotePrefix="1" applyFont="1" applyFill="1" applyBorder="1" applyAlignment="1">
      <alignment horizontal="center"/>
    </xf>
    <xf numFmtId="0" fontId="27" fillId="13" borderId="11" xfId="0" applyFont="1" applyFill="1" applyBorder="1" applyAlignment="1">
      <alignment horizontal="center"/>
    </xf>
    <xf numFmtId="43" fontId="0" fillId="0" borderId="0" xfId="1" applyFont="1"/>
    <xf numFmtId="43" fontId="0" fillId="0" borderId="0" xfId="1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43" fontId="0" fillId="0" borderId="11" xfId="1" applyFont="1" applyFill="1" applyBorder="1"/>
    <xf numFmtId="43" fontId="0" fillId="0" borderId="11" xfId="1" applyFont="1" applyBorder="1"/>
    <xf numFmtId="0" fontId="0" fillId="0" borderId="0" xfId="0" applyAlignment="1">
      <alignment vertical="top" wrapText="1"/>
    </xf>
    <xf numFmtId="0" fontId="0" fillId="17" borderId="0" xfId="0" applyFill="1" applyAlignment="1">
      <alignment horizontal="left" vertical="top" wrapText="1"/>
    </xf>
    <xf numFmtId="0" fontId="28" fillId="0" borderId="0" xfId="0" applyFont="1"/>
    <xf numFmtId="172" fontId="0" fillId="0" borderId="11" xfId="3" applyNumberFormat="1" applyFont="1" applyBorder="1" applyAlignment="1">
      <alignment horizontal="center"/>
    </xf>
    <xf numFmtId="43" fontId="0" fillId="0" borderId="11" xfId="1" applyFont="1" applyBorder="1" applyAlignment="1">
      <alignment horizontal="center"/>
    </xf>
    <xf numFmtId="9" fontId="0" fillId="0" borderId="11" xfId="1" applyNumberFormat="1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22" fontId="0" fillId="18" borderId="11" xfId="0" applyNumberFormat="1" applyFill="1" applyBorder="1"/>
    <xf numFmtId="0" fontId="29" fillId="19" borderId="13" xfId="0" applyFont="1" applyFill="1" applyBorder="1" applyAlignment="1">
      <alignment horizontal="center"/>
    </xf>
    <xf numFmtId="0" fontId="29" fillId="19" borderId="15" xfId="0" applyFont="1" applyFill="1" applyBorder="1" applyAlignment="1">
      <alignment horizontal="center"/>
    </xf>
    <xf numFmtId="173" fontId="4" fillId="0" borderId="11" xfId="0" applyNumberFormat="1" applyFont="1" applyBorder="1" applyAlignment="1">
      <alignment horizontal="center"/>
    </xf>
    <xf numFmtId="14" fontId="0" fillId="0" borderId="0" xfId="0" applyNumberFormat="1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9">
    <cellStyle name="Ênfase1" xfId="4" builtinId="29"/>
    <cellStyle name="Moeda" xfId="2" builtinId="4"/>
    <cellStyle name="Moeda 10" xfId="5" xr:uid="{191769AB-DD41-4C4F-98E3-31BBFE2CDED5}"/>
    <cellStyle name="Moeda 12" xfId="7" xr:uid="{0A5BBB54-01A0-4D21-9E00-D95DA5FE07AA}"/>
    <cellStyle name="Moeda 14" xfId="6" xr:uid="{29F45750-C0D3-4DE5-80F5-EFA3CFAD0467}"/>
    <cellStyle name="Normal" xfId="0" builtinId="0"/>
    <cellStyle name="Porcentagem" xfId="3" builtinId="5"/>
    <cellStyle name="Separador de milhares 2" xfId="8" xr:uid="{220DC047-4478-4513-A320-41A86938AD53}"/>
    <cellStyle name="Vírgula" xfId="1" builtinId="3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externalLink" Target="externalLinks/externalLink5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</xdr:row>
      <xdr:rowOff>180975</xdr:rowOff>
    </xdr:from>
    <xdr:to>
      <xdr:col>3</xdr:col>
      <xdr:colOff>19050</xdr:colOff>
      <xdr:row>5</xdr:row>
      <xdr:rowOff>161925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C8CA23F3-0420-88FB-3122-E93343B07EC8}"/>
            </a:ext>
          </a:extLst>
        </xdr:cNvPr>
        <xdr:cNvSpPr/>
      </xdr:nvSpPr>
      <xdr:spPr>
        <a:xfrm>
          <a:off x="800100" y="561975"/>
          <a:ext cx="1047750" cy="5524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  <a:p>
          <a:pPr algn="l"/>
          <a:endParaRPr lang="pt-BR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GoogleDriver\VNT%20-%20Sistemas\LSX%20Excel\Excel%20M&#243;dulo%20B&#225;sico%20-%20LAR%20-%20T3%20ADM\Aula%203-24.xlsx" TargetMode="External"/><Relationship Id="rId1" Type="http://schemas.openxmlformats.org/officeDocument/2006/relationships/externalLinkPath" Target="/GoogleDriver/VNT%20-%20Sistemas/LSX%20Excel/Excel%20M&#243;dulo%20B&#225;sico%20-%20LAR%20-%20T3%20ADM/Aula%203-24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vinic\Downloads\_AULA(5).xlsx" TargetMode="External"/><Relationship Id="rId1" Type="http://schemas.openxmlformats.org/officeDocument/2006/relationships/externalLinkPath" Target="/Users/vinic/Downloads/_AULA(5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UIS%20CLAUDIO\Desktop\COASUL\Intermedi&#225;rio%20-%20Turma%202\Exerc&#237;cios%20Intermedi&#225;rio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lcspa/Desktop/LSX%20Consulting/Excel/LAR/Unidade%20Cascavel%20-%20Junho_2019/Avan&#231;ado/Exerc&#237;cios%20Avan&#231;ado_abr18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GoogleDriver\VNT%20-%20Sistemas\LSX%20Excel\Excel%20M&#243;dulo%20B&#225;sico%20-%20LAR%20-%20T3%20ADM\T3%20ADM\Exerc&#237;cios%20Resolvidos%20-%20Turmas%20Anteriores\Excel%20B&#225;sico%20T2%20-%20Exerc&#237;cios%20-%202024%20-%20Planilha%20Professor.xlsx" TargetMode="External"/><Relationship Id="rId1" Type="http://schemas.openxmlformats.org/officeDocument/2006/relationships/externalLinkPath" Target="/GoogleDriver/VNT%20-%20Sistemas/LSX%20Excel/Excel%20M&#243;dulo%20B&#225;sico%20-%20LAR%20-%20T3%20ADM/T3%20ADM/Exerc&#237;cios%20Resolvidos%20-%20Turmas%20Anteriores/Excel%20B&#225;sico%20T2%20-%20Exerc&#237;cios%20-%202024%20-%20Planilha%20Professor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uisClaudio\Desktop\excel\LAR\Treinamento%20Incubadora%20Santa%20Helena%20-%20mar_2018\Intermedi&#225;rio%20-%20Turma%201\Exerc&#237;cios%20Intermedi&#225;rio_Abr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áfico Candidato"/>
      <sheetName val="Gráfico Região Sul"/>
      <sheetName val="Gráfico Planejamento Orçamentár"/>
      <sheetName val="Gráfico Despesa Pessoal"/>
      <sheetName val="Gráfico Venda e Inadimplência"/>
      <sheetName val="ProcV e ProcH"/>
      <sheetName val="Sorteio"/>
      <sheetName val="Funcionarios"/>
      <sheetName val="Busca Funcionário"/>
      <sheetName val="Controle de Despes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5">
          <cell r="D5" t="str">
            <v>Água</v>
          </cell>
          <cell r="E5">
            <v>168</v>
          </cell>
        </row>
        <row r="6">
          <cell r="D6" t="str">
            <v>Luz</v>
          </cell>
          <cell r="E6">
            <v>227</v>
          </cell>
        </row>
        <row r="7">
          <cell r="D7" t="str">
            <v>Telefone</v>
          </cell>
          <cell r="E7">
            <v>193</v>
          </cell>
        </row>
        <row r="8">
          <cell r="D8" t="str">
            <v>Aluguel</v>
          </cell>
          <cell r="E8">
            <v>380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UNCIONÁRIOS"/>
      <sheetName val="CONSULTA"/>
    </sheetNames>
    <sheetDataSet>
      <sheetData sheetId="0">
        <row r="2">
          <cell r="A2">
            <v>101</v>
          </cell>
          <cell r="B2" t="str">
            <v xml:space="preserve">CARLOS </v>
          </cell>
          <cell r="C2">
            <v>1200</v>
          </cell>
        </row>
        <row r="3">
          <cell r="A3">
            <v>102</v>
          </cell>
          <cell r="B3" t="str">
            <v>ANDRÉ</v>
          </cell>
          <cell r="C3">
            <v>1500</v>
          </cell>
        </row>
        <row r="4">
          <cell r="A4">
            <v>103</v>
          </cell>
          <cell r="B4" t="str">
            <v>PAULO</v>
          </cell>
          <cell r="C4">
            <v>2450</v>
          </cell>
        </row>
        <row r="5">
          <cell r="A5">
            <v>104</v>
          </cell>
          <cell r="B5" t="str">
            <v>MARIA</v>
          </cell>
          <cell r="C5">
            <v>1895</v>
          </cell>
        </row>
        <row r="6">
          <cell r="A6">
            <v>105</v>
          </cell>
          <cell r="B6" t="str">
            <v>CLEITON</v>
          </cell>
          <cell r="C6">
            <v>995</v>
          </cell>
        </row>
      </sheetData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mes de Células"/>
      <sheetName val="Data e Hora"/>
      <sheetName val="Funções de Texto"/>
      <sheetName val="ex1 Meu Mercado"/>
      <sheetName val="ex2 Agenda"/>
      <sheetName val="Colar Especial"/>
      <sheetName val="Ex3 Salário"/>
      <sheetName val="ex4 Autopreenchimento"/>
      <sheetName val="Gráf1"/>
      <sheetName val="ex5 Folha_Gráficos"/>
      <sheetName val="Gráf2"/>
    </sheetNames>
    <sheetDataSet>
      <sheetData sheetId="0">
        <row r="1">
          <cell r="H1">
            <v>2.4500000000000002</v>
          </cell>
        </row>
        <row r="2">
          <cell r="B2">
            <v>100</v>
          </cell>
          <cell r="C2">
            <v>25</v>
          </cell>
          <cell r="D2">
            <v>2500</v>
          </cell>
        </row>
        <row r="3">
          <cell r="B3">
            <v>200</v>
          </cell>
          <cell r="C3">
            <v>36</v>
          </cell>
          <cell r="D3">
            <v>7200</v>
          </cell>
        </row>
        <row r="4">
          <cell r="B4">
            <v>50</v>
          </cell>
          <cell r="C4">
            <v>10</v>
          </cell>
          <cell r="D4">
            <v>500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tação"/>
      <sheetName val="Ref Abs X relativa"/>
      <sheetName val="Formatação R"/>
      <sheetName val="FUNÇÃO SE"/>
      <sheetName val="FUNÇÃO SE (E)"/>
      <sheetName val="FUNÇÃO SE (OU)"/>
      <sheetName val="NOMES CELULAS"/>
      <sheetName val="DATA E HORA"/>
      <sheetName val="TEXTOS"/>
      <sheetName val="ex1 Meu Mercado"/>
      <sheetName val="EX2-TEXTO"/>
      <sheetName val="Ex3 Salário"/>
      <sheetName val="ex4 Autopreenchimento"/>
      <sheetName val="ex5 Banco Dados"/>
      <sheetName val="ex5 Banco Dados (2)"/>
      <sheetName val="Modelos"/>
      <sheetName val="Pedidos"/>
      <sheetName val="Calcados"/>
      <sheetName val="Ped_Calcados"/>
      <sheetName val="Plan2"/>
      <sheetName val="Somase"/>
      <sheetName val="Tabela Preços"/>
      <sheetName val="Plan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B2">
            <v>100</v>
          </cell>
          <cell r="D2">
            <v>2500</v>
          </cell>
        </row>
        <row r="3">
          <cell r="D3">
            <v>7200</v>
          </cell>
        </row>
        <row r="4">
          <cell r="D4">
            <v>500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2">
          <cell r="A2" t="str">
            <v>Modelo</v>
          </cell>
          <cell r="B2" t="str">
            <v>Descrição</v>
          </cell>
          <cell r="C2" t="str">
            <v>Cor</v>
          </cell>
          <cell r="D2" t="str">
            <v>Valor</v>
          </cell>
        </row>
        <row r="3">
          <cell r="A3">
            <v>10</v>
          </cell>
          <cell r="B3" t="str">
            <v>BMW</v>
          </cell>
          <cell r="C3" t="str">
            <v>Branco</v>
          </cell>
          <cell r="D3">
            <v>45000</v>
          </cell>
        </row>
        <row r="4">
          <cell r="A4">
            <v>20</v>
          </cell>
          <cell r="B4" t="str">
            <v>MERCEDES</v>
          </cell>
          <cell r="C4" t="str">
            <v>Azul</v>
          </cell>
          <cell r="D4">
            <v>50000</v>
          </cell>
        </row>
        <row r="5">
          <cell r="A5">
            <v>30</v>
          </cell>
          <cell r="B5" t="str">
            <v>FERRARI</v>
          </cell>
          <cell r="C5" t="str">
            <v>Vermelho</v>
          </cell>
          <cell r="D5">
            <v>150000</v>
          </cell>
        </row>
      </sheetData>
      <sheetData sheetId="16"/>
      <sheetData sheetId="17"/>
      <sheetData sheetId="18"/>
      <sheetData sheetId="19"/>
      <sheetData sheetId="20">
        <row r="2">
          <cell r="A2" t="str">
            <v>Beira Rio</v>
          </cell>
          <cell r="D2">
            <v>12541</v>
          </cell>
          <cell r="E2">
            <v>31352.5</v>
          </cell>
        </row>
        <row r="3">
          <cell r="A3" t="str">
            <v>Musa</v>
          </cell>
          <cell r="D3">
            <v>6500</v>
          </cell>
          <cell r="E3">
            <v>24700</v>
          </cell>
        </row>
        <row r="4">
          <cell r="A4" t="str">
            <v>Azaléia</v>
          </cell>
          <cell r="D4">
            <v>3251</v>
          </cell>
          <cell r="E4">
            <v>3901.2</v>
          </cell>
        </row>
        <row r="5">
          <cell r="A5" t="str">
            <v>Beira Rio</v>
          </cell>
          <cell r="D5">
            <v>5400</v>
          </cell>
          <cell r="E5">
            <v>19440</v>
          </cell>
        </row>
        <row r="6">
          <cell r="A6" t="str">
            <v>Beira Rio</v>
          </cell>
          <cell r="D6">
            <v>1200</v>
          </cell>
          <cell r="E6">
            <v>6600</v>
          </cell>
        </row>
        <row r="7">
          <cell r="A7" t="str">
            <v>Bibi</v>
          </cell>
          <cell r="D7">
            <v>3220</v>
          </cell>
          <cell r="E7">
            <v>28658</v>
          </cell>
        </row>
        <row r="8">
          <cell r="A8" t="str">
            <v>Bibi</v>
          </cell>
          <cell r="D8">
            <v>2355</v>
          </cell>
          <cell r="E8">
            <v>20488.5</v>
          </cell>
        </row>
        <row r="9">
          <cell r="A9" t="str">
            <v>Bibi</v>
          </cell>
          <cell r="D9">
            <v>1254</v>
          </cell>
          <cell r="E9">
            <v>9906.6</v>
          </cell>
        </row>
        <row r="10">
          <cell r="A10" t="str">
            <v>Beira Rio</v>
          </cell>
          <cell r="D10">
            <v>5400</v>
          </cell>
          <cell r="E10">
            <v>56700</v>
          </cell>
        </row>
        <row r="11">
          <cell r="A11" t="str">
            <v>Amapá</v>
          </cell>
          <cell r="D11">
            <v>3620</v>
          </cell>
          <cell r="E11">
            <v>90500</v>
          </cell>
        </row>
        <row r="12">
          <cell r="A12" t="str">
            <v>Musa</v>
          </cell>
          <cell r="D12">
            <v>1200</v>
          </cell>
          <cell r="E12">
            <v>2760</v>
          </cell>
        </row>
        <row r="13">
          <cell r="A13" t="str">
            <v>Amapá</v>
          </cell>
          <cell r="D13">
            <v>1350</v>
          </cell>
          <cell r="E13">
            <v>4860</v>
          </cell>
        </row>
        <row r="14">
          <cell r="A14" t="str">
            <v>Amapá</v>
          </cell>
          <cell r="D14">
            <v>1255</v>
          </cell>
          <cell r="E14">
            <v>3137.5</v>
          </cell>
        </row>
        <row r="15">
          <cell r="A15" t="str">
            <v>Bibi</v>
          </cell>
          <cell r="D15">
            <v>2500</v>
          </cell>
          <cell r="E15">
            <v>3000</v>
          </cell>
        </row>
        <row r="16">
          <cell r="A16" t="str">
            <v>Azaléia</v>
          </cell>
          <cell r="D16">
            <v>1200</v>
          </cell>
          <cell r="E16">
            <v>7080</v>
          </cell>
        </row>
      </sheetData>
      <sheetData sheetId="21"/>
      <sheetData sheetId="2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1-Desp Trim (Original)"/>
      <sheetName val="Despesas Trimestrais (aula)"/>
      <sheetName val="Planilha3"/>
      <sheetName val="ex1-Desp Trim (Resolvido)"/>
      <sheetName val="ex2-estúdio (original)"/>
      <sheetName val="ex2-estúdio (aula)"/>
      <sheetName val="ex2-estúdio (Resolvido)"/>
      <sheetName val="Planilha4"/>
      <sheetName val="Ex 2.1 - Tabela Preços"/>
      <sheetName val="ex3-veiculos (original)"/>
      <sheetName val="ex3-veiculos Resolvido"/>
      <sheetName val="ex4-Notas (original)"/>
      <sheetName val="ex4-Notas (AULA)"/>
      <sheetName val="ex4-Notas (Resolvido 2)"/>
      <sheetName val="ex4-Notas (Resolvido)"/>
      <sheetName val="Testes_lógicos (Aula)"/>
      <sheetName val="Testes_lógicos"/>
      <sheetName val="Função SE (Ori)"/>
      <sheetName val="Função SE (aula)"/>
      <sheetName val="Função SE (Resolvido)"/>
      <sheetName val="ex5-pgtos (Orig)"/>
      <sheetName val="ex5-pgtos (Aula)"/>
      <sheetName val="ex5-pgtos (Resolvido)"/>
      <sheetName val="ex6-Mercado (original)"/>
      <sheetName val="ex6-Mercado (aula)"/>
      <sheetName val="ex6-Mercado Resolvido"/>
      <sheetName val="ex-autopreenchimento"/>
      <sheetName val="Autopreenc e Impressão (Orig)"/>
      <sheetName val="Autopreenc e Impressão (Aula)"/>
      <sheetName val="Autopreenc e Impressão  (Reslv)"/>
      <sheetName val="Séries e Listas"/>
      <sheetName val="ex7-salários (Original)"/>
      <sheetName val="ex7-salários (Resolvido)"/>
      <sheetName val="Series e Sequências 2"/>
      <sheetName val="Dashboard"/>
      <sheetName val="Series e Sequências"/>
      <sheetName val="ex7-salários (Resolvido 12h)"/>
      <sheetName val="ex7-salários Resolvido (16h)"/>
      <sheetName val="Sequências"/>
      <sheetName val="Planilha2"/>
      <sheetName val="Ex Series e Sequências"/>
      <sheetName val="Planilha1"/>
      <sheetName val="ex8-débitos (Original)"/>
      <sheetName val="ex8-débitos Resolvido"/>
      <sheetName val="ex9-DPA"/>
      <sheetName val="Ex. Autopreenc e Impressão Estr"/>
      <sheetName val="Ex. Autopreenc e Impressão  (2)"/>
      <sheetName val="Ex Formulário"/>
      <sheetName val="Ex-Formulário"/>
      <sheetName val="Ex Adicional (Menu Links)"/>
      <sheetName val="Planilha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MES CÉLULAS"/>
      <sheetName val="Data_e_Hora"/>
      <sheetName val="ex-texto"/>
      <sheetName val="Mercado"/>
      <sheetName val="Plan2"/>
      <sheetName val="SE"/>
      <sheetName val="ex-texto2"/>
      <sheetName val="salário"/>
      <sheetName val="autopreenchimento"/>
      <sheetName val="Gráf1"/>
      <sheetName val="Gráf-folha"/>
      <sheetName val="ex Banco Dados"/>
    </sheetNames>
    <sheetDataSet>
      <sheetData sheetId="0">
        <row r="2">
          <cell r="B2">
            <v>100</v>
          </cell>
          <cell r="C2">
            <v>25</v>
          </cell>
          <cell r="E2">
            <v>475</v>
          </cell>
        </row>
        <row r="3">
          <cell r="B3">
            <v>200</v>
          </cell>
          <cell r="C3">
            <v>36</v>
          </cell>
          <cell r="E3">
            <v>1368</v>
          </cell>
        </row>
        <row r="4">
          <cell r="B4">
            <v>50</v>
          </cell>
          <cell r="C4">
            <v>10</v>
          </cell>
          <cell r="E4">
            <v>95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EC4FE-0423-47AC-B18D-2E679E5F4341}">
  <dimension ref="A1"/>
  <sheetViews>
    <sheetView workbookViewId="0">
      <selection activeCell="G6" sqref="G6"/>
    </sheetView>
  </sheetViews>
  <sheetFormatPr defaultRowHeight="15"/>
  <sheetData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68326-1F95-4950-BC2C-2199F314F940}">
  <dimension ref="A1:L496"/>
  <sheetViews>
    <sheetView topLeftCell="A25" zoomScale="175" zoomScaleNormal="175" workbookViewId="0">
      <selection activeCell="E2" sqref="E2"/>
    </sheetView>
  </sheetViews>
  <sheetFormatPr defaultRowHeight="15"/>
  <cols>
    <col min="5" max="5" width="11.85546875" customWidth="1"/>
    <col min="6" max="6" width="11.42578125" customWidth="1"/>
    <col min="7" max="7" width="11.7109375" customWidth="1"/>
    <col min="8" max="8" width="12" customWidth="1"/>
    <col min="10" max="10" width="10.42578125" bestFit="1" customWidth="1"/>
    <col min="11" max="11" width="6.7109375" customWidth="1"/>
  </cols>
  <sheetData>
    <row r="1" spans="1:12">
      <c r="A1">
        <v>1</v>
      </c>
      <c r="B1">
        <v>5</v>
      </c>
      <c r="C1">
        <v>1</v>
      </c>
      <c r="D1">
        <v>10</v>
      </c>
      <c r="E1" s="160">
        <v>45474</v>
      </c>
      <c r="F1" s="160">
        <v>45474</v>
      </c>
      <c r="G1" s="160">
        <v>45474</v>
      </c>
      <c r="H1" t="s">
        <v>381</v>
      </c>
      <c r="I1" t="s">
        <v>380</v>
      </c>
      <c r="J1" t="s">
        <v>401</v>
      </c>
      <c r="K1" t="s">
        <v>386</v>
      </c>
      <c r="L1" t="s">
        <v>402</v>
      </c>
    </row>
    <row r="2" spans="1:12">
      <c r="A2">
        <v>2</v>
      </c>
      <c r="B2">
        <v>10</v>
      </c>
      <c r="C2">
        <v>3</v>
      </c>
      <c r="D2">
        <v>12</v>
      </c>
      <c r="E2" s="160">
        <v>45475</v>
      </c>
      <c r="F2" s="160">
        <v>45481</v>
      </c>
      <c r="G2" s="160">
        <v>45481</v>
      </c>
      <c r="H2" t="s">
        <v>378</v>
      </c>
      <c r="I2" t="s">
        <v>377</v>
      </c>
      <c r="J2" t="s">
        <v>401</v>
      </c>
      <c r="K2" t="s">
        <v>382</v>
      </c>
      <c r="L2" t="s">
        <v>400</v>
      </c>
    </row>
    <row r="3" spans="1:12">
      <c r="A3">
        <v>3</v>
      </c>
      <c r="B3">
        <v>15</v>
      </c>
      <c r="C3">
        <v>5</v>
      </c>
      <c r="D3">
        <v>14</v>
      </c>
      <c r="E3" s="160">
        <v>45476</v>
      </c>
      <c r="F3" s="160">
        <v>45488</v>
      </c>
      <c r="G3" s="160">
        <v>45488</v>
      </c>
      <c r="H3" t="s">
        <v>374</v>
      </c>
      <c r="I3" t="s">
        <v>373</v>
      </c>
      <c r="J3" t="s">
        <v>398</v>
      </c>
      <c r="K3" t="s">
        <v>379</v>
      </c>
      <c r="L3" t="s">
        <v>399</v>
      </c>
    </row>
    <row r="4" spans="1:12">
      <c r="A4">
        <v>4</v>
      </c>
      <c r="B4">
        <v>20</v>
      </c>
      <c r="C4">
        <v>7</v>
      </c>
      <c r="D4">
        <v>16</v>
      </c>
      <c r="E4" s="160">
        <v>45477</v>
      </c>
      <c r="F4" s="160">
        <v>45495</v>
      </c>
      <c r="G4" s="160">
        <v>45495</v>
      </c>
      <c r="H4" t="s">
        <v>371</v>
      </c>
      <c r="I4" t="s">
        <v>370</v>
      </c>
      <c r="J4" t="s">
        <v>398</v>
      </c>
      <c r="K4" t="s">
        <v>375</v>
      </c>
      <c r="L4" t="s">
        <v>397</v>
      </c>
    </row>
    <row r="5" spans="1:12">
      <c r="A5">
        <v>5</v>
      </c>
      <c r="B5">
        <v>25</v>
      </c>
      <c r="C5">
        <v>9</v>
      </c>
      <c r="D5">
        <v>18</v>
      </c>
      <c r="E5" s="160">
        <v>45478</v>
      </c>
      <c r="F5" s="160">
        <v>45502</v>
      </c>
      <c r="G5" s="160">
        <v>45502</v>
      </c>
      <c r="H5" t="s">
        <v>367</v>
      </c>
      <c r="I5" t="s">
        <v>366</v>
      </c>
      <c r="J5" t="s">
        <v>396</v>
      </c>
      <c r="K5" t="s">
        <v>372</v>
      </c>
    </row>
    <row r="6" spans="1:12">
      <c r="A6">
        <v>6</v>
      </c>
      <c r="B6">
        <v>30</v>
      </c>
      <c r="C6">
        <v>11</v>
      </c>
      <c r="D6">
        <v>20</v>
      </c>
      <c r="E6" s="160">
        <v>45481</v>
      </c>
      <c r="F6" s="160">
        <v>45509</v>
      </c>
      <c r="G6" s="160">
        <v>45509</v>
      </c>
      <c r="H6" t="s">
        <v>364</v>
      </c>
      <c r="I6" t="s">
        <v>363</v>
      </c>
      <c r="J6" t="s">
        <v>395</v>
      </c>
      <c r="K6" t="s">
        <v>368</v>
      </c>
    </row>
    <row r="7" spans="1:12">
      <c r="A7">
        <v>7</v>
      </c>
      <c r="B7">
        <v>35</v>
      </c>
      <c r="C7">
        <v>13</v>
      </c>
      <c r="D7">
        <v>22</v>
      </c>
      <c r="E7" s="160">
        <v>45482</v>
      </c>
      <c r="F7" s="160">
        <v>45516</v>
      </c>
      <c r="G7" s="160">
        <v>45516</v>
      </c>
      <c r="H7" t="s">
        <v>385</v>
      </c>
      <c r="I7" t="s">
        <v>384</v>
      </c>
      <c r="J7" t="s">
        <v>394</v>
      </c>
      <c r="K7" t="s">
        <v>365</v>
      </c>
    </row>
    <row r="8" spans="1:12">
      <c r="A8">
        <v>8</v>
      </c>
      <c r="B8">
        <v>40</v>
      </c>
      <c r="C8">
        <v>15</v>
      </c>
      <c r="D8">
        <v>24</v>
      </c>
      <c r="E8" s="160">
        <v>45483</v>
      </c>
      <c r="F8" s="160">
        <v>45523</v>
      </c>
      <c r="G8" s="160">
        <v>45523</v>
      </c>
      <c r="H8" t="s">
        <v>381</v>
      </c>
      <c r="I8" t="s">
        <v>380</v>
      </c>
      <c r="J8" t="s">
        <v>393</v>
      </c>
      <c r="K8" t="s">
        <v>361</v>
      </c>
    </row>
    <row r="9" spans="1:12">
      <c r="A9">
        <v>9</v>
      </c>
      <c r="B9">
        <v>45</v>
      </c>
      <c r="C9">
        <v>17</v>
      </c>
      <c r="D9">
        <v>26</v>
      </c>
      <c r="E9" s="160">
        <v>45484</v>
      </c>
      <c r="F9" s="160">
        <v>45530</v>
      </c>
      <c r="G9" s="160">
        <v>45530</v>
      </c>
      <c r="H9" t="s">
        <v>378</v>
      </c>
      <c r="I9" t="s">
        <v>377</v>
      </c>
      <c r="J9" t="s">
        <v>391</v>
      </c>
      <c r="K9" t="s">
        <v>392</v>
      </c>
    </row>
    <row r="10" spans="1:12">
      <c r="A10">
        <v>10</v>
      </c>
      <c r="B10">
        <v>50</v>
      </c>
      <c r="C10">
        <v>19</v>
      </c>
      <c r="D10">
        <v>28</v>
      </c>
      <c r="E10" s="160">
        <v>45485</v>
      </c>
      <c r="F10" s="160">
        <v>45537</v>
      </c>
      <c r="G10" s="160">
        <v>45537</v>
      </c>
      <c r="H10" t="s">
        <v>374</v>
      </c>
      <c r="I10" t="s">
        <v>373</v>
      </c>
      <c r="J10" t="s">
        <v>391</v>
      </c>
      <c r="K10" t="s">
        <v>390</v>
      </c>
    </row>
    <row r="11" spans="1:12">
      <c r="A11">
        <v>11</v>
      </c>
      <c r="B11">
        <v>55</v>
      </c>
      <c r="C11">
        <v>21</v>
      </c>
      <c r="D11">
        <v>30</v>
      </c>
      <c r="E11" s="160">
        <v>45488</v>
      </c>
      <c r="F11" s="160">
        <v>45544</v>
      </c>
      <c r="G11" s="160">
        <v>45544</v>
      </c>
      <c r="H11" t="s">
        <v>371</v>
      </c>
      <c r="I11" t="s">
        <v>370</v>
      </c>
      <c r="J11" t="s">
        <v>388</v>
      </c>
      <c r="K11" t="s">
        <v>389</v>
      </c>
    </row>
    <row r="12" spans="1:12">
      <c r="A12">
        <v>12</v>
      </c>
      <c r="B12">
        <v>60</v>
      </c>
      <c r="C12">
        <v>23</v>
      </c>
      <c r="D12">
        <v>32</v>
      </c>
      <c r="E12" s="160">
        <v>45489</v>
      </c>
      <c r="F12" s="160">
        <v>45551</v>
      </c>
      <c r="G12" s="160">
        <v>45551</v>
      </c>
      <c r="H12" t="s">
        <v>367</v>
      </c>
      <c r="I12" t="s">
        <v>366</v>
      </c>
      <c r="J12" t="s">
        <v>388</v>
      </c>
      <c r="K12" t="s">
        <v>387</v>
      </c>
    </row>
    <row r="13" spans="1:12">
      <c r="A13">
        <v>13</v>
      </c>
      <c r="B13">
        <v>65</v>
      </c>
      <c r="C13">
        <v>25</v>
      </c>
      <c r="D13">
        <v>34</v>
      </c>
      <c r="E13" s="160">
        <v>45490</v>
      </c>
      <c r="F13" s="160">
        <v>45558</v>
      </c>
      <c r="G13" s="160">
        <v>45558</v>
      </c>
      <c r="H13" t="s">
        <v>364</v>
      </c>
      <c r="I13" t="s">
        <v>363</v>
      </c>
      <c r="J13" t="s">
        <v>383</v>
      </c>
      <c r="K13" t="s">
        <v>386</v>
      </c>
    </row>
    <row r="14" spans="1:12">
      <c r="A14">
        <v>14</v>
      </c>
      <c r="B14">
        <v>70</v>
      </c>
      <c r="C14">
        <v>27</v>
      </c>
      <c r="D14">
        <v>36</v>
      </c>
      <c r="E14" s="160">
        <v>45491</v>
      </c>
      <c r="F14" s="160">
        <v>45565</v>
      </c>
      <c r="G14" s="160">
        <v>45565</v>
      </c>
      <c r="H14" t="s">
        <v>385</v>
      </c>
      <c r="I14" t="s">
        <v>384</v>
      </c>
      <c r="J14" t="s">
        <v>383</v>
      </c>
      <c r="K14" t="s">
        <v>382</v>
      </c>
    </row>
    <row r="15" spans="1:12">
      <c r="A15">
        <v>15</v>
      </c>
      <c r="B15">
        <v>75</v>
      </c>
      <c r="C15">
        <v>29</v>
      </c>
      <c r="D15">
        <v>38</v>
      </c>
      <c r="E15" s="160">
        <v>45492</v>
      </c>
      <c r="F15" s="160">
        <v>45572</v>
      </c>
      <c r="G15" s="160">
        <v>45572</v>
      </c>
      <c r="H15" t="s">
        <v>381</v>
      </c>
      <c r="I15" t="s">
        <v>380</v>
      </c>
      <c r="J15" t="s">
        <v>376</v>
      </c>
      <c r="K15" t="s">
        <v>379</v>
      </c>
    </row>
    <row r="16" spans="1:12">
      <c r="A16">
        <v>16</v>
      </c>
      <c r="B16">
        <v>80</v>
      </c>
      <c r="C16">
        <v>31</v>
      </c>
      <c r="D16">
        <v>40</v>
      </c>
      <c r="E16" s="160">
        <v>45495</v>
      </c>
      <c r="F16" s="160">
        <v>45579</v>
      </c>
      <c r="G16" s="160">
        <v>45579</v>
      </c>
      <c r="H16" t="s">
        <v>378</v>
      </c>
      <c r="I16" t="s">
        <v>377</v>
      </c>
      <c r="J16" t="s">
        <v>376</v>
      </c>
      <c r="K16" t="s">
        <v>375</v>
      </c>
    </row>
    <row r="17" spans="1:11">
      <c r="A17">
        <v>17</v>
      </c>
      <c r="B17">
        <v>85</v>
      </c>
      <c r="C17">
        <v>33</v>
      </c>
      <c r="D17">
        <v>42</v>
      </c>
      <c r="E17" s="160">
        <v>45496</v>
      </c>
      <c r="F17" s="160">
        <v>45586</v>
      </c>
      <c r="G17" s="160">
        <v>45586</v>
      </c>
      <c r="H17" t="s">
        <v>374</v>
      </c>
      <c r="I17" t="s">
        <v>373</v>
      </c>
      <c r="J17" t="s">
        <v>369</v>
      </c>
      <c r="K17" t="s">
        <v>372</v>
      </c>
    </row>
    <row r="18" spans="1:11">
      <c r="A18">
        <v>18</v>
      </c>
      <c r="B18">
        <v>90</v>
      </c>
      <c r="C18">
        <v>35</v>
      </c>
      <c r="D18">
        <v>44</v>
      </c>
      <c r="E18" s="160">
        <v>45497</v>
      </c>
      <c r="F18" s="160">
        <v>45593</v>
      </c>
      <c r="G18" s="160">
        <v>45593</v>
      </c>
      <c r="H18" t="s">
        <v>371</v>
      </c>
      <c r="I18" t="s">
        <v>370</v>
      </c>
      <c r="J18" t="s">
        <v>369</v>
      </c>
      <c r="K18" t="s">
        <v>368</v>
      </c>
    </row>
    <row r="19" spans="1:11">
      <c r="A19">
        <v>19</v>
      </c>
      <c r="B19">
        <v>95</v>
      </c>
      <c r="C19">
        <v>37</v>
      </c>
      <c r="D19">
        <v>46</v>
      </c>
      <c r="E19" s="160">
        <v>45498</v>
      </c>
      <c r="F19" s="160">
        <v>45600</v>
      </c>
      <c r="G19" s="160">
        <v>45600</v>
      </c>
      <c r="H19" t="s">
        <v>367</v>
      </c>
      <c r="I19" t="s">
        <v>366</v>
      </c>
      <c r="J19" t="s">
        <v>362</v>
      </c>
      <c r="K19" t="s">
        <v>365</v>
      </c>
    </row>
    <row r="20" spans="1:11">
      <c r="A20">
        <v>20</v>
      </c>
      <c r="B20">
        <v>100</v>
      </c>
      <c r="C20">
        <v>39</v>
      </c>
      <c r="D20">
        <v>48</v>
      </c>
      <c r="E20" s="160">
        <v>45499</v>
      </c>
      <c r="F20" s="160">
        <v>45607</v>
      </c>
      <c r="G20" s="160">
        <v>45607</v>
      </c>
      <c r="H20" t="s">
        <v>364</v>
      </c>
      <c r="I20" t="s">
        <v>363</v>
      </c>
      <c r="J20" t="s">
        <v>362</v>
      </c>
      <c r="K20" t="s">
        <v>361</v>
      </c>
    </row>
    <row r="21" spans="1:11">
      <c r="D21">
        <v>50</v>
      </c>
      <c r="G21" s="160">
        <v>45614</v>
      </c>
    </row>
    <row r="22" spans="1:11">
      <c r="D22">
        <v>52</v>
      </c>
      <c r="G22" s="160">
        <v>45621</v>
      </c>
    </row>
    <row r="23" spans="1:11">
      <c r="D23">
        <v>54</v>
      </c>
      <c r="G23" s="160">
        <v>45628</v>
      </c>
    </row>
    <row r="24" spans="1:11">
      <c r="D24">
        <v>56</v>
      </c>
      <c r="G24" s="160">
        <v>45635</v>
      </c>
    </row>
    <row r="25" spans="1:11">
      <c r="D25">
        <v>58</v>
      </c>
      <c r="G25" s="160">
        <v>45642</v>
      </c>
    </row>
    <row r="26" spans="1:11">
      <c r="D26">
        <v>60</v>
      </c>
      <c r="G26" s="160">
        <v>45649</v>
      </c>
    </row>
    <row r="27" spans="1:11">
      <c r="D27">
        <v>62</v>
      </c>
      <c r="G27" s="160">
        <v>45656</v>
      </c>
    </row>
    <row r="28" spans="1:11">
      <c r="D28">
        <v>64</v>
      </c>
      <c r="G28" s="160">
        <v>45663</v>
      </c>
    </row>
    <row r="29" spans="1:11">
      <c r="D29">
        <v>66</v>
      </c>
      <c r="G29" s="160">
        <v>45670</v>
      </c>
    </row>
    <row r="30" spans="1:11">
      <c r="D30">
        <v>68</v>
      </c>
      <c r="G30" s="160">
        <v>45677</v>
      </c>
    </row>
    <row r="31" spans="1:11">
      <c r="D31">
        <v>70</v>
      </c>
      <c r="G31" s="160">
        <v>45684</v>
      </c>
    </row>
    <row r="32" spans="1:11">
      <c r="D32">
        <v>72</v>
      </c>
      <c r="G32" s="160">
        <v>45691</v>
      </c>
    </row>
    <row r="33" spans="4:7">
      <c r="D33">
        <v>74</v>
      </c>
      <c r="G33" s="160">
        <v>45698</v>
      </c>
    </row>
    <row r="34" spans="4:7">
      <c r="D34">
        <v>76</v>
      </c>
      <c r="G34" s="160">
        <v>45705</v>
      </c>
    </row>
    <row r="35" spans="4:7">
      <c r="D35">
        <v>78</v>
      </c>
      <c r="G35" s="160">
        <v>45712</v>
      </c>
    </row>
    <row r="36" spans="4:7">
      <c r="D36">
        <v>80</v>
      </c>
      <c r="G36" s="160">
        <v>45719</v>
      </c>
    </row>
    <row r="37" spans="4:7">
      <c r="D37">
        <v>82</v>
      </c>
      <c r="G37" s="160">
        <v>45726</v>
      </c>
    </row>
    <row r="38" spans="4:7">
      <c r="D38">
        <v>84</v>
      </c>
      <c r="G38" s="160">
        <v>45733</v>
      </c>
    </row>
    <row r="39" spans="4:7">
      <c r="D39">
        <v>86</v>
      </c>
      <c r="G39" s="160">
        <v>45740</v>
      </c>
    </row>
    <row r="40" spans="4:7">
      <c r="D40">
        <v>88</v>
      </c>
      <c r="G40" s="160">
        <v>45747</v>
      </c>
    </row>
    <row r="41" spans="4:7">
      <c r="D41">
        <v>90</v>
      </c>
      <c r="G41" s="160">
        <v>45754</v>
      </c>
    </row>
    <row r="42" spans="4:7">
      <c r="D42">
        <v>92</v>
      </c>
      <c r="G42" s="160">
        <v>45761</v>
      </c>
    </row>
    <row r="43" spans="4:7">
      <c r="D43">
        <v>94</v>
      </c>
      <c r="G43" s="160">
        <v>45768</v>
      </c>
    </row>
    <row r="44" spans="4:7">
      <c r="D44">
        <v>96</v>
      </c>
      <c r="G44" s="160">
        <v>45775</v>
      </c>
    </row>
    <row r="45" spans="4:7">
      <c r="D45">
        <v>98</v>
      </c>
      <c r="G45" s="160">
        <v>45782</v>
      </c>
    </row>
    <row r="46" spans="4:7">
      <c r="D46">
        <v>100</v>
      </c>
      <c r="G46" s="160">
        <v>45789</v>
      </c>
    </row>
    <row r="47" spans="4:7">
      <c r="D47">
        <v>102</v>
      </c>
      <c r="G47" s="160">
        <v>45796</v>
      </c>
    </row>
    <row r="48" spans="4:7">
      <c r="D48">
        <v>104</v>
      </c>
      <c r="G48" s="160">
        <v>45803</v>
      </c>
    </row>
    <row r="49" spans="4:7">
      <c r="D49">
        <v>106</v>
      </c>
      <c r="G49" s="160">
        <v>45810</v>
      </c>
    </row>
    <row r="50" spans="4:7">
      <c r="D50">
        <v>108</v>
      </c>
      <c r="G50" s="160">
        <v>45817</v>
      </c>
    </row>
    <row r="51" spans="4:7">
      <c r="D51">
        <v>110</v>
      </c>
      <c r="G51" s="160">
        <v>45824</v>
      </c>
    </row>
    <row r="52" spans="4:7">
      <c r="D52">
        <v>112</v>
      </c>
      <c r="G52" s="160">
        <v>45831</v>
      </c>
    </row>
    <row r="53" spans="4:7">
      <c r="D53">
        <v>114</v>
      </c>
      <c r="G53" s="160">
        <v>45838</v>
      </c>
    </row>
    <row r="54" spans="4:7">
      <c r="D54">
        <v>116</v>
      </c>
      <c r="G54" s="160">
        <v>45845</v>
      </c>
    </row>
    <row r="55" spans="4:7">
      <c r="D55">
        <v>118</v>
      </c>
      <c r="G55" s="160">
        <v>45852</v>
      </c>
    </row>
    <row r="56" spans="4:7">
      <c r="D56">
        <v>120</v>
      </c>
      <c r="G56" s="160">
        <v>45859</v>
      </c>
    </row>
    <row r="57" spans="4:7">
      <c r="D57">
        <v>122</v>
      </c>
      <c r="G57" s="160">
        <v>45866</v>
      </c>
    </row>
    <row r="58" spans="4:7">
      <c r="D58">
        <v>124</v>
      </c>
      <c r="G58" s="160">
        <v>45873</v>
      </c>
    </row>
    <row r="59" spans="4:7">
      <c r="D59">
        <v>126</v>
      </c>
      <c r="G59" s="160">
        <v>45880</v>
      </c>
    </row>
    <row r="60" spans="4:7">
      <c r="D60">
        <v>128</v>
      </c>
      <c r="G60" s="160">
        <v>45887</v>
      </c>
    </row>
    <row r="61" spans="4:7">
      <c r="D61">
        <v>130</v>
      </c>
      <c r="G61" s="160">
        <v>45894</v>
      </c>
    </row>
    <row r="62" spans="4:7">
      <c r="D62">
        <v>132</v>
      </c>
      <c r="G62" s="160">
        <v>45901</v>
      </c>
    </row>
    <row r="63" spans="4:7">
      <c r="D63">
        <v>134</v>
      </c>
      <c r="G63" s="160">
        <v>45908</v>
      </c>
    </row>
    <row r="64" spans="4:7">
      <c r="D64">
        <v>136</v>
      </c>
      <c r="G64" s="160">
        <v>45915</v>
      </c>
    </row>
    <row r="65" spans="4:7">
      <c r="D65">
        <v>138</v>
      </c>
      <c r="G65" s="160">
        <v>45922</v>
      </c>
    </row>
    <row r="66" spans="4:7">
      <c r="D66">
        <v>140</v>
      </c>
      <c r="G66" s="160">
        <v>45929</v>
      </c>
    </row>
    <row r="67" spans="4:7">
      <c r="D67">
        <v>142</v>
      </c>
      <c r="G67" s="160">
        <v>45936</v>
      </c>
    </row>
    <row r="68" spans="4:7">
      <c r="D68">
        <v>144</v>
      </c>
      <c r="G68" s="160">
        <v>45943</v>
      </c>
    </row>
    <row r="69" spans="4:7">
      <c r="D69">
        <v>146</v>
      </c>
      <c r="G69" s="160">
        <v>45950</v>
      </c>
    </row>
    <row r="70" spans="4:7">
      <c r="D70">
        <v>148</v>
      </c>
      <c r="G70" s="160">
        <v>45957</v>
      </c>
    </row>
    <row r="71" spans="4:7">
      <c r="D71">
        <v>150</v>
      </c>
      <c r="G71" s="160">
        <v>45964</v>
      </c>
    </row>
    <row r="72" spans="4:7">
      <c r="D72">
        <v>152</v>
      </c>
      <c r="G72" s="160">
        <v>45971</v>
      </c>
    </row>
    <row r="73" spans="4:7">
      <c r="D73">
        <v>154</v>
      </c>
      <c r="G73" s="160">
        <v>45978</v>
      </c>
    </row>
    <row r="74" spans="4:7">
      <c r="D74">
        <v>156</v>
      </c>
      <c r="G74" s="160">
        <v>45985</v>
      </c>
    </row>
    <row r="75" spans="4:7">
      <c r="D75">
        <v>158</v>
      </c>
      <c r="G75" s="160">
        <v>45992</v>
      </c>
    </row>
    <row r="76" spans="4:7">
      <c r="D76">
        <v>160</v>
      </c>
      <c r="G76" s="160">
        <v>45999</v>
      </c>
    </row>
    <row r="77" spans="4:7">
      <c r="D77">
        <v>162</v>
      </c>
      <c r="G77" s="160">
        <v>46006</v>
      </c>
    </row>
    <row r="78" spans="4:7">
      <c r="D78">
        <v>164</v>
      </c>
      <c r="G78" s="160">
        <v>46013</v>
      </c>
    </row>
    <row r="79" spans="4:7">
      <c r="D79">
        <v>166</v>
      </c>
      <c r="G79" s="160">
        <v>46020</v>
      </c>
    </row>
    <row r="80" spans="4:7">
      <c r="D80">
        <v>168</v>
      </c>
      <c r="G80" s="160">
        <v>46027</v>
      </c>
    </row>
    <row r="81" spans="4:7">
      <c r="D81">
        <v>170</v>
      </c>
      <c r="G81" s="160">
        <v>46034</v>
      </c>
    </row>
    <row r="82" spans="4:7">
      <c r="D82">
        <v>172</v>
      </c>
      <c r="G82" s="160">
        <v>46041</v>
      </c>
    </row>
    <row r="83" spans="4:7">
      <c r="D83">
        <v>174</v>
      </c>
      <c r="G83" s="160">
        <v>46048</v>
      </c>
    </row>
    <row r="84" spans="4:7">
      <c r="D84">
        <v>176</v>
      </c>
      <c r="G84" s="160">
        <v>46055</v>
      </c>
    </row>
    <row r="85" spans="4:7">
      <c r="D85">
        <v>178</v>
      </c>
      <c r="G85" s="160">
        <v>46062</v>
      </c>
    </row>
    <row r="86" spans="4:7">
      <c r="D86">
        <v>180</v>
      </c>
      <c r="G86" s="160">
        <v>46069</v>
      </c>
    </row>
    <row r="87" spans="4:7">
      <c r="D87">
        <v>182</v>
      </c>
      <c r="G87" s="160">
        <v>46076</v>
      </c>
    </row>
    <row r="88" spans="4:7">
      <c r="D88">
        <v>184</v>
      </c>
      <c r="G88" s="160">
        <v>46083</v>
      </c>
    </row>
    <row r="89" spans="4:7">
      <c r="D89">
        <v>186</v>
      </c>
      <c r="G89" s="160">
        <v>46090</v>
      </c>
    </row>
    <row r="90" spans="4:7">
      <c r="D90">
        <v>188</v>
      </c>
      <c r="G90" s="160">
        <v>46097</v>
      </c>
    </row>
    <row r="91" spans="4:7">
      <c r="D91">
        <v>190</v>
      </c>
      <c r="G91" s="160">
        <v>46104</v>
      </c>
    </row>
    <row r="92" spans="4:7">
      <c r="D92">
        <v>192</v>
      </c>
      <c r="G92" s="160">
        <v>46111</v>
      </c>
    </row>
    <row r="93" spans="4:7">
      <c r="D93">
        <v>194</v>
      </c>
      <c r="G93" s="160">
        <v>46118</v>
      </c>
    </row>
    <row r="94" spans="4:7">
      <c r="D94">
        <v>196</v>
      </c>
      <c r="G94" s="160">
        <v>46125</v>
      </c>
    </row>
    <row r="95" spans="4:7">
      <c r="D95">
        <v>198</v>
      </c>
      <c r="G95" s="160">
        <v>46132</v>
      </c>
    </row>
    <row r="96" spans="4:7">
      <c r="D96">
        <v>200</v>
      </c>
      <c r="G96" s="160">
        <v>46139</v>
      </c>
    </row>
    <row r="97" spans="4:7">
      <c r="D97">
        <v>202</v>
      </c>
      <c r="G97" s="160">
        <v>46146</v>
      </c>
    </row>
    <row r="98" spans="4:7">
      <c r="D98">
        <v>204</v>
      </c>
      <c r="G98" s="160">
        <v>46153</v>
      </c>
    </row>
    <row r="99" spans="4:7">
      <c r="D99">
        <v>206</v>
      </c>
      <c r="G99" s="160">
        <v>46160</v>
      </c>
    </row>
    <row r="100" spans="4:7">
      <c r="D100">
        <v>208</v>
      </c>
      <c r="G100" s="160">
        <v>46167</v>
      </c>
    </row>
    <row r="101" spans="4:7">
      <c r="D101">
        <v>210</v>
      </c>
      <c r="G101" s="160">
        <v>46174</v>
      </c>
    </row>
    <row r="102" spans="4:7">
      <c r="D102">
        <v>212</v>
      </c>
      <c r="G102" s="160">
        <v>46181</v>
      </c>
    </row>
    <row r="103" spans="4:7">
      <c r="D103">
        <v>214</v>
      </c>
      <c r="G103" s="160">
        <v>46188</v>
      </c>
    </row>
    <row r="104" spans="4:7">
      <c r="D104">
        <v>216</v>
      </c>
      <c r="G104" s="160">
        <v>46195</v>
      </c>
    </row>
    <row r="105" spans="4:7">
      <c r="D105">
        <v>218</v>
      </c>
      <c r="G105" s="160">
        <v>46202</v>
      </c>
    </row>
    <row r="106" spans="4:7">
      <c r="D106">
        <v>220</v>
      </c>
      <c r="G106" s="160">
        <v>46209</v>
      </c>
    </row>
    <row r="107" spans="4:7">
      <c r="D107">
        <v>222</v>
      </c>
      <c r="G107" s="160">
        <v>46216</v>
      </c>
    </row>
    <row r="108" spans="4:7">
      <c r="D108">
        <v>224</v>
      </c>
      <c r="G108" s="160">
        <v>46223</v>
      </c>
    </row>
    <row r="109" spans="4:7">
      <c r="D109">
        <v>226</v>
      </c>
      <c r="G109" s="160">
        <v>46230</v>
      </c>
    </row>
    <row r="110" spans="4:7">
      <c r="D110">
        <v>228</v>
      </c>
      <c r="G110" s="160">
        <v>46237</v>
      </c>
    </row>
    <row r="111" spans="4:7">
      <c r="D111">
        <v>230</v>
      </c>
      <c r="G111" s="160">
        <v>46244</v>
      </c>
    </row>
    <row r="112" spans="4:7">
      <c r="D112">
        <v>232</v>
      </c>
      <c r="G112" s="160">
        <v>46251</v>
      </c>
    </row>
    <row r="113" spans="4:7">
      <c r="D113">
        <v>234</v>
      </c>
      <c r="G113" s="160">
        <v>46258</v>
      </c>
    </row>
    <row r="114" spans="4:7">
      <c r="D114">
        <v>236</v>
      </c>
      <c r="G114" s="160">
        <v>46265</v>
      </c>
    </row>
    <row r="115" spans="4:7">
      <c r="D115">
        <v>238</v>
      </c>
      <c r="G115" s="160">
        <v>46272</v>
      </c>
    </row>
    <row r="116" spans="4:7">
      <c r="D116">
        <v>240</v>
      </c>
      <c r="G116" s="160">
        <v>46279</v>
      </c>
    </row>
    <row r="117" spans="4:7">
      <c r="D117">
        <v>242</v>
      </c>
      <c r="G117" s="160">
        <v>46286</v>
      </c>
    </row>
    <row r="118" spans="4:7">
      <c r="D118">
        <v>244</v>
      </c>
      <c r="G118" s="160">
        <v>46293</v>
      </c>
    </row>
    <row r="119" spans="4:7">
      <c r="D119">
        <v>246</v>
      </c>
      <c r="G119" s="160">
        <v>46300</v>
      </c>
    </row>
    <row r="120" spans="4:7">
      <c r="D120">
        <v>248</v>
      </c>
      <c r="G120" s="160">
        <v>46307</v>
      </c>
    </row>
    <row r="121" spans="4:7">
      <c r="D121">
        <v>250</v>
      </c>
      <c r="G121" s="160">
        <v>46314</v>
      </c>
    </row>
    <row r="122" spans="4:7">
      <c r="D122">
        <v>252</v>
      </c>
      <c r="G122" s="160">
        <v>46321</v>
      </c>
    </row>
    <row r="123" spans="4:7">
      <c r="D123">
        <v>254</v>
      </c>
      <c r="G123" s="160">
        <v>46328</v>
      </c>
    </row>
    <row r="124" spans="4:7">
      <c r="D124">
        <v>256</v>
      </c>
      <c r="G124" s="160">
        <v>46335</v>
      </c>
    </row>
    <row r="125" spans="4:7">
      <c r="D125">
        <v>258</v>
      </c>
      <c r="G125" s="160">
        <v>46342</v>
      </c>
    </row>
    <row r="126" spans="4:7">
      <c r="D126">
        <v>260</v>
      </c>
      <c r="G126" s="160">
        <v>46349</v>
      </c>
    </row>
    <row r="127" spans="4:7">
      <c r="D127">
        <v>262</v>
      </c>
      <c r="G127" s="160">
        <v>46356</v>
      </c>
    </row>
    <row r="128" spans="4:7">
      <c r="D128">
        <v>264</v>
      </c>
      <c r="G128" s="160">
        <v>46363</v>
      </c>
    </row>
    <row r="129" spans="4:7">
      <c r="D129">
        <v>266</v>
      </c>
      <c r="G129" s="160">
        <v>46370</v>
      </c>
    </row>
    <row r="130" spans="4:7">
      <c r="D130">
        <v>268</v>
      </c>
      <c r="G130" s="160">
        <v>46377</v>
      </c>
    </row>
    <row r="131" spans="4:7">
      <c r="D131">
        <v>270</v>
      </c>
      <c r="G131" s="160">
        <v>46384</v>
      </c>
    </row>
    <row r="132" spans="4:7">
      <c r="D132">
        <v>272</v>
      </c>
      <c r="G132" s="160">
        <v>46391</v>
      </c>
    </row>
    <row r="133" spans="4:7">
      <c r="D133">
        <v>274</v>
      </c>
      <c r="G133" s="160">
        <v>46398</v>
      </c>
    </row>
    <row r="134" spans="4:7">
      <c r="D134">
        <v>276</v>
      </c>
      <c r="G134" s="160">
        <v>46405</v>
      </c>
    </row>
    <row r="135" spans="4:7">
      <c r="D135">
        <v>278</v>
      </c>
      <c r="G135" s="160">
        <v>46412</v>
      </c>
    </row>
    <row r="136" spans="4:7">
      <c r="D136">
        <v>280</v>
      </c>
      <c r="G136" s="160">
        <v>46419</v>
      </c>
    </row>
    <row r="137" spans="4:7">
      <c r="D137">
        <v>282</v>
      </c>
      <c r="G137" s="160">
        <v>46426</v>
      </c>
    </row>
    <row r="138" spans="4:7">
      <c r="D138">
        <v>284</v>
      </c>
      <c r="G138" s="160">
        <v>46433</v>
      </c>
    </row>
    <row r="139" spans="4:7">
      <c r="D139">
        <v>286</v>
      </c>
      <c r="G139" s="160">
        <v>46440</v>
      </c>
    </row>
    <row r="140" spans="4:7">
      <c r="D140">
        <v>288</v>
      </c>
      <c r="G140" s="160">
        <v>46447</v>
      </c>
    </row>
    <row r="141" spans="4:7">
      <c r="D141">
        <v>290</v>
      </c>
      <c r="G141" s="160">
        <v>46454</v>
      </c>
    </row>
    <row r="142" spans="4:7">
      <c r="D142">
        <v>292</v>
      </c>
      <c r="G142" s="160">
        <v>46461</v>
      </c>
    </row>
    <row r="143" spans="4:7">
      <c r="D143">
        <v>294</v>
      </c>
      <c r="G143" s="160">
        <v>46468</v>
      </c>
    </row>
    <row r="144" spans="4:7">
      <c r="D144">
        <v>296</v>
      </c>
      <c r="G144" s="160">
        <v>46475</v>
      </c>
    </row>
    <row r="145" spans="4:7">
      <c r="D145">
        <v>298</v>
      </c>
      <c r="G145" s="160">
        <v>46482</v>
      </c>
    </row>
    <row r="146" spans="4:7">
      <c r="D146">
        <v>300</v>
      </c>
      <c r="G146" s="160">
        <v>46489</v>
      </c>
    </row>
    <row r="147" spans="4:7">
      <c r="D147">
        <v>302</v>
      </c>
      <c r="G147" s="160">
        <v>46496</v>
      </c>
    </row>
    <row r="148" spans="4:7">
      <c r="D148">
        <v>304</v>
      </c>
      <c r="G148" s="160">
        <v>46503</v>
      </c>
    </row>
    <row r="149" spans="4:7">
      <c r="D149">
        <v>306</v>
      </c>
      <c r="G149" s="160">
        <v>46510</v>
      </c>
    </row>
    <row r="150" spans="4:7">
      <c r="D150">
        <v>308</v>
      </c>
      <c r="G150" s="160">
        <v>46517</v>
      </c>
    </row>
    <row r="151" spans="4:7">
      <c r="D151">
        <v>310</v>
      </c>
      <c r="G151" s="160">
        <v>46524</v>
      </c>
    </row>
    <row r="152" spans="4:7">
      <c r="D152">
        <v>312</v>
      </c>
      <c r="G152" s="160">
        <v>46531</v>
      </c>
    </row>
    <row r="153" spans="4:7">
      <c r="D153">
        <v>314</v>
      </c>
      <c r="G153" s="160">
        <v>46538</v>
      </c>
    </row>
    <row r="154" spans="4:7">
      <c r="D154">
        <v>316</v>
      </c>
      <c r="G154" s="160">
        <v>46545</v>
      </c>
    </row>
    <row r="155" spans="4:7">
      <c r="D155">
        <v>318</v>
      </c>
      <c r="G155" s="160">
        <v>46552</v>
      </c>
    </row>
    <row r="156" spans="4:7">
      <c r="D156">
        <v>320</v>
      </c>
      <c r="G156" s="160">
        <v>46559</v>
      </c>
    </row>
    <row r="157" spans="4:7">
      <c r="D157">
        <v>322</v>
      </c>
      <c r="G157" s="160">
        <v>46566</v>
      </c>
    </row>
    <row r="158" spans="4:7">
      <c r="D158">
        <v>324</v>
      </c>
      <c r="G158" s="160">
        <v>46573</v>
      </c>
    </row>
    <row r="159" spans="4:7">
      <c r="D159">
        <v>326</v>
      </c>
      <c r="G159" s="160">
        <v>46580</v>
      </c>
    </row>
    <row r="160" spans="4:7">
      <c r="D160">
        <v>328</v>
      </c>
      <c r="G160" s="160">
        <v>46587</v>
      </c>
    </row>
    <row r="161" spans="4:7">
      <c r="D161">
        <v>330</v>
      </c>
      <c r="G161" s="160">
        <v>46594</v>
      </c>
    </row>
    <row r="162" spans="4:7">
      <c r="D162">
        <v>332</v>
      </c>
      <c r="G162" s="160">
        <v>46601</v>
      </c>
    </row>
    <row r="163" spans="4:7">
      <c r="D163">
        <v>334</v>
      </c>
      <c r="G163" s="160">
        <v>46608</v>
      </c>
    </row>
    <row r="164" spans="4:7">
      <c r="D164">
        <v>336</v>
      </c>
      <c r="G164" s="160">
        <v>46615</v>
      </c>
    </row>
    <row r="165" spans="4:7">
      <c r="D165">
        <v>338</v>
      </c>
      <c r="G165" s="160">
        <v>46622</v>
      </c>
    </row>
    <row r="166" spans="4:7">
      <c r="D166">
        <v>340</v>
      </c>
      <c r="G166" s="160">
        <v>46629</v>
      </c>
    </row>
    <row r="167" spans="4:7">
      <c r="D167">
        <v>342</v>
      </c>
      <c r="G167" s="160">
        <v>46636</v>
      </c>
    </row>
    <row r="168" spans="4:7">
      <c r="D168">
        <v>344</v>
      </c>
      <c r="G168" s="160">
        <v>46643</v>
      </c>
    </row>
    <row r="169" spans="4:7">
      <c r="D169">
        <v>346</v>
      </c>
      <c r="G169" s="160">
        <v>46650</v>
      </c>
    </row>
    <row r="170" spans="4:7">
      <c r="D170">
        <v>348</v>
      </c>
      <c r="G170" s="160">
        <v>46657</v>
      </c>
    </row>
    <row r="171" spans="4:7">
      <c r="D171">
        <v>350</v>
      </c>
      <c r="G171" s="160">
        <v>46664</v>
      </c>
    </row>
    <row r="172" spans="4:7">
      <c r="D172">
        <v>352</v>
      </c>
      <c r="G172" s="160">
        <v>46671</v>
      </c>
    </row>
    <row r="173" spans="4:7">
      <c r="D173">
        <v>354</v>
      </c>
      <c r="G173" s="160">
        <v>46678</v>
      </c>
    </row>
    <row r="174" spans="4:7">
      <c r="D174">
        <v>356</v>
      </c>
      <c r="G174" s="160">
        <v>46685</v>
      </c>
    </row>
    <row r="175" spans="4:7">
      <c r="D175">
        <v>358</v>
      </c>
      <c r="G175" s="160">
        <v>46692</v>
      </c>
    </row>
    <row r="176" spans="4:7">
      <c r="D176">
        <v>360</v>
      </c>
      <c r="G176" s="160">
        <v>46699</v>
      </c>
    </row>
    <row r="177" spans="4:7">
      <c r="D177">
        <v>362</v>
      </c>
      <c r="G177" s="160">
        <v>46706</v>
      </c>
    </row>
    <row r="178" spans="4:7">
      <c r="D178">
        <v>364</v>
      </c>
      <c r="G178" s="160">
        <v>46713</v>
      </c>
    </row>
    <row r="179" spans="4:7">
      <c r="D179">
        <v>366</v>
      </c>
      <c r="G179" s="160">
        <v>46720</v>
      </c>
    </row>
    <row r="180" spans="4:7">
      <c r="D180">
        <v>368</v>
      </c>
      <c r="G180" s="160">
        <v>46727</v>
      </c>
    </row>
    <row r="181" spans="4:7">
      <c r="D181">
        <v>370</v>
      </c>
      <c r="G181" s="160">
        <v>46734</v>
      </c>
    </row>
    <row r="182" spans="4:7">
      <c r="D182">
        <v>372</v>
      </c>
      <c r="G182" s="160">
        <v>46741</v>
      </c>
    </row>
    <row r="183" spans="4:7">
      <c r="D183">
        <v>374</v>
      </c>
      <c r="G183" s="160">
        <v>46748</v>
      </c>
    </row>
    <row r="184" spans="4:7">
      <c r="D184">
        <v>376</v>
      </c>
      <c r="G184" s="160">
        <v>46755</v>
      </c>
    </row>
    <row r="185" spans="4:7">
      <c r="D185">
        <v>378</v>
      </c>
      <c r="G185" s="160">
        <v>46762</v>
      </c>
    </row>
    <row r="186" spans="4:7">
      <c r="D186">
        <v>380</v>
      </c>
      <c r="G186" s="160">
        <v>46769</v>
      </c>
    </row>
    <row r="187" spans="4:7">
      <c r="D187">
        <v>382</v>
      </c>
      <c r="G187" s="160">
        <v>46776</v>
      </c>
    </row>
    <row r="188" spans="4:7">
      <c r="D188">
        <v>384</v>
      </c>
      <c r="G188" s="160">
        <v>46783</v>
      </c>
    </row>
    <row r="189" spans="4:7">
      <c r="D189">
        <v>386</v>
      </c>
      <c r="G189" s="160">
        <v>46790</v>
      </c>
    </row>
    <row r="190" spans="4:7">
      <c r="D190">
        <v>388</v>
      </c>
      <c r="G190" s="160">
        <v>46797</v>
      </c>
    </row>
    <row r="191" spans="4:7">
      <c r="D191">
        <v>390</v>
      </c>
      <c r="G191" s="160">
        <v>46804</v>
      </c>
    </row>
    <row r="192" spans="4:7">
      <c r="D192">
        <v>392</v>
      </c>
      <c r="G192" s="160">
        <v>46811</v>
      </c>
    </row>
    <row r="193" spans="4:7">
      <c r="D193">
        <v>394</v>
      </c>
      <c r="G193" s="160">
        <v>46818</v>
      </c>
    </row>
    <row r="194" spans="4:7">
      <c r="D194">
        <v>396</v>
      </c>
      <c r="G194" s="160">
        <v>46825</v>
      </c>
    </row>
    <row r="195" spans="4:7">
      <c r="D195">
        <v>398</v>
      </c>
      <c r="G195" s="160">
        <v>46832</v>
      </c>
    </row>
    <row r="196" spans="4:7">
      <c r="D196">
        <v>400</v>
      </c>
      <c r="G196" s="160">
        <v>46839</v>
      </c>
    </row>
    <row r="197" spans="4:7">
      <c r="D197">
        <v>402</v>
      </c>
      <c r="G197" s="160">
        <v>46846</v>
      </c>
    </row>
    <row r="198" spans="4:7">
      <c r="D198">
        <v>404</v>
      </c>
      <c r="G198" s="160">
        <v>46853</v>
      </c>
    </row>
    <row r="199" spans="4:7">
      <c r="D199">
        <v>406</v>
      </c>
      <c r="G199" s="160">
        <v>46860</v>
      </c>
    </row>
    <row r="200" spans="4:7">
      <c r="D200">
        <v>408</v>
      </c>
      <c r="G200" s="160">
        <v>46867</v>
      </c>
    </row>
    <row r="201" spans="4:7">
      <c r="D201">
        <v>410</v>
      </c>
      <c r="G201" s="160">
        <v>46874</v>
      </c>
    </row>
    <row r="202" spans="4:7">
      <c r="D202">
        <v>412</v>
      </c>
      <c r="G202" s="160">
        <v>46881</v>
      </c>
    </row>
    <row r="203" spans="4:7">
      <c r="D203">
        <v>414</v>
      </c>
      <c r="G203" s="160">
        <v>46888</v>
      </c>
    </row>
    <row r="204" spans="4:7">
      <c r="D204">
        <v>416</v>
      </c>
      <c r="G204" s="160">
        <v>46895</v>
      </c>
    </row>
    <row r="205" spans="4:7">
      <c r="D205">
        <v>418</v>
      </c>
      <c r="G205" s="160">
        <v>46902</v>
      </c>
    </row>
    <row r="206" spans="4:7">
      <c r="D206">
        <v>420</v>
      </c>
      <c r="G206" s="160">
        <v>46909</v>
      </c>
    </row>
    <row r="207" spans="4:7">
      <c r="D207">
        <v>422</v>
      </c>
      <c r="G207" s="160">
        <v>46916</v>
      </c>
    </row>
    <row r="208" spans="4:7">
      <c r="D208">
        <v>424</v>
      </c>
      <c r="G208" s="160">
        <v>46923</v>
      </c>
    </row>
    <row r="209" spans="4:7">
      <c r="D209">
        <v>426</v>
      </c>
      <c r="G209" s="160">
        <v>46930</v>
      </c>
    </row>
    <row r="210" spans="4:7">
      <c r="D210">
        <v>428</v>
      </c>
      <c r="G210" s="160">
        <v>46937</v>
      </c>
    </row>
    <row r="211" spans="4:7">
      <c r="D211">
        <v>430</v>
      </c>
      <c r="G211" s="160">
        <v>46944</v>
      </c>
    </row>
    <row r="212" spans="4:7">
      <c r="D212">
        <v>432</v>
      </c>
      <c r="G212" s="160">
        <v>46951</v>
      </c>
    </row>
    <row r="213" spans="4:7">
      <c r="D213">
        <v>434</v>
      </c>
      <c r="G213" s="160">
        <v>46958</v>
      </c>
    </row>
    <row r="214" spans="4:7">
      <c r="D214">
        <v>436</v>
      </c>
      <c r="G214" s="160">
        <v>46965</v>
      </c>
    </row>
    <row r="215" spans="4:7">
      <c r="D215">
        <v>438</v>
      </c>
      <c r="G215" s="160">
        <v>46972</v>
      </c>
    </row>
    <row r="216" spans="4:7">
      <c r="D216">
        <v>440</v>
      </c>
      <c r="G216" s="160">
        <v>46979</v>
      </c>
    </row>
    <row r="217" spans="4:7">
      <c r="D217">
        <v>442</v>
      </c>
      <c r="G217" s="160">
        <v>46986</v>
      </c>
    </row>
    <row r="218" spans="4:7">
      <c r="D218">
        <v>444</v>
      </c>
      <c r="G218" s="160">
        <v>46993</v>
      </c>
    </row>
    <row r="219" spans="4:7">
      <c r="D219">
        <v>446</v>
      </c>
      <c r="G219" s="160">
        <v>47000</v>
      </c>
    </row>
    <row r="220" spans="4:7">
      <c r="D220">
        <v>448</v>
      </c>
      <c r="G220" s="160">
        <v>47007</v>
      </c>
    </row>
    <row r="221" spans="4:7">
      <c r="D221">
        <v>450</v>
      </c>
      <c r="G221" s="160">
        <v>47014</v>
      </c>
    </row>
    <row r="222" spans="4:7">
      <c r="D222">
        <v>452</v>
      </c>
      <c r="G222" s="160">
        <v>47021</v>
      </c>
    </row>
    <row r="223" spans="4:7">
      <c r="D223">
        <v>454</v>
      </c>
      <c r="G223" s="160">
        <v>47028</v>
      </c>
    </row>
    <row r="224" spans="4:7">
      <c r="D224">
        <v>456</v>
      </c>
      <c r="G224" s="160">
        <v>47035</v>
      </c>
    </row>
    <row r="225" spans="4:7">
      <c r="D225">
        <v>458</v>
      </c>
      <c r="G225" s="160">
        <v>47042</v>
      </c>
    </row>
    <row r="226" spans="4:7">
      <c r="D226">
        <v>460</v>
      </c>
      <c r="G226" s="160">
        <v>47049</v>
      </c>
    </row>
    <row r="227" spans="4:7">
      <c r="D227">
        <v>462</v>
      </c>
      <c r="G227" s="160">
        <v>47056</v>
      </c>
    </row>
    <row r="228" spans="4:7">
      <c r="D228">
        <v>464</v>
      </c>
      <c r="G228" s="160">
        <v>47063</v>
      </c>
    </row>
    <row r="229" spans="4:7">
      <c r="D229">
        <v>466</v>
      </c>
      <c r="G229" s="160">
        <v>47070</v>
      </c>
    </row>
    <row r="230" spans="4:7">
      <c r="D230">
        <v>468</v>
      </c>
      <c r="G230" s="160">
        <v>47077</v>
      </c>
    </row>
    <row r="231" spans="4:7">
      <c r="D231">
        <v>470</v>
      </c>
      <c r="G231" s="160">
        <v>47084</v>
      </c>
    </row>
    <row r="232" spans="4:7">
      <c r="D232">
        <v>472</v>
      </c>
      <c r="G232" s="160">
        <v>47091</v>
      </c>
    </row>
    <row r="233" spans="4:7">
      <c r="D233">
        <v>474</v>
      </c>
      <c r="G233" s="160">
        <v>47098</v>
      </c>
    </row>
    <row r="234" spans="4:7">
      <c r="D234">
        <v>476</v>
      </c>
      <c r="G234" s="160">
        <v>47105</v>
      </c>
    </row>
    <row r="235" spans="4:7">
      <c r="D235">
        <v>478</v>
      </c>
      <c r="G235" s="160">
        <v>47112</v>
      </c>
    </row>
    <row r="236" spans="4:7">
      <c r="D236">
        <v>480</v>
      </c>
      <c r="G236" s="160">
        <v>47119</v>
      </c>
    </row>
    <row r="237" spans="4:7">
      <c r="D237">
        <v>482</v>
      </c>
      <c r="G237" s="160">
        <v>47126</v>
      </c>
    </row>
    <row r="238" spans="4:7">
      <c r="D238">
        <v>484</v>
      </c>
      <c r="G238" s="160">
        <v>47133</v>
      </c>
    </row>
    <row r="239" spans="4:7">
      <c r="D239">
        <v>486</v>
      </c>
      <c r="G239" s="160">
        <v>47140</v>
      </c>
    </row>
    <row r="240" spans="4:7">
      <c r="D240">
        <v>488</v>
      </c>
      <c r="G240" s="160">
        <v>47147</v>
      </c>
    </row>
    <row r="241" spans="4:7">
      <c r="D241">
        <v>490</v>
      </c>
      <c r="G241" s="160">
        <v>47154</v>
      </c>
    </row>
    <row r="242" spans="4:7">
      <c r="D242">
        <v>492</v>
      </c>
      <c r="G242" s="160">
        <v>47161</v>
      </c>
    </row>
    <row r="243" spans="4:7">
      <c r="D243">
        <v>494</v>
      </c>
      <c r="G243" s="160">
        <v>47168</v>
      </c>
    </row>
    <row r="244" spans="4:7">
      <c r="D244">
        <v>496</v>
      </c>
      <c r="G244" s="160">
        <v>47175</v>
      </c>
    </row>
    <row r="245" spans="4:7">
      <c r="D245">
        <v>498</v>
      </c>
      <c r="G245" s="160">
        <v>47182</v>
      </c>
    </row>
    <row r="246" spans="4:7">
      <c r="D246">
        <v>500</v>
      </c>
      <c r="G246" s="160">
        <v>47189</v>
      </c>
    </row>
    <row r="247" spans="4:7">
      <c r="D247">
        <v>502</v>
      </c>
      <c r="G247" s="160">
        <v>47196</v>
      </c>
    </row>
    <row r="248" spans="4:7">
      <c r="D248">
        <v>504</v>
      </c>
      <c r="G248" s="160">
        <v>47203</v>
      </c>
    </row>
    <row r="249" spans="4:7">
      <c r="D249">
        <v>506</v>
      </c>
      <c r="G249" s="160">
        <v>47210</v>
      </c>
    </row>
    <row r="250" spans="4:7">
      <c r="D250">
        <v>508</v>
      </c>
      <c r="G250" s="160">
        <v>47217</v>
      </c>
    </row>
    <row r="251" spans="4:7">
      <c r="D251">
        <v>510</v>
      </c>
      <c r="G251" s="160">
        <v>47224</v>
      </c>
    </row>
    <row r="252" spans="4:7">
      <c r="D252">
        <v>512</v>
      </c>
      <c r="G252" s="160">
        <v>47231</v>
      </c>
    </row>
    <row r="253" spans="4:7">
      <c r="D253">
        <v>514</v>
      </c>
      <c r="G253" s="160">
        <v>47238</v>
      </c>
    </row>
    <row r="254" spans="4:7">
      <c r="D254">
        <v>516</v>
      </c>
      <c r="G254" s="160">
        <v>47245</v>
      </c>
    </row>
    <row r="255" spans="4:7">
      <c r="D255">
        <v>518</v>
      </c>
      <c r="G255" s="160">
        <v>47252</v>
      </c>
    </row>
    <row r="256" spans="4:7">
      <c r="D256">
        <v>520</v>
      </c>
      <c r="G256" s="160">
        <v>47259</v>
      </c>
    </row>
    <row r="257" spans="4:7">
      <c r="D257">
        <v>522</v>
      </c>
      <c r="G257" s="160">
        <v>47266</v>
      </c>
    </row>
    <row r="258" spans="4:7">
      <c r="D258">
        <v>524</v>
      </c>
      <c r="G258" s="160">
        <v>47273</v>
      </c>
    </row>
    <row r="259" spans="4:7">
      <c r="D259">
        <v>526</v>
      </c>
      <c r="G259" s="160">
        <v>47280</v>
      </c>
    </row>
    <row r="260" spans="4:7">
      <c r="D260">
        <v>528</v>
      </c>
      <c r="G260" s="160">
        <v>47287</v>
      </c>
    </row>
    <row r="261" spans="4:7">
      <c r="D261">
        <v>530</v>
      </c>
      <c r="G261" s="160">
        <v>47294</v>
      </c>
    </row>
    <row r="262" spans="4:7">
      <c r="D262">
        <v>532</v>
      </c>
      <c r="G262" s="160">
        <v>47301</v>
      </c>
    </row>
    <row r="263" spans="4:7">
      <c r="D263">
        <v>534</v>
      </c>
      <c r="G263" s="160">
        <v>47308</v>
      </c>
    </row>
    <row r="264" spans="4:7">
      <c r="D264">
        <v>536</v>
      </c>
      <c r="G264" s="160">
        <v>47315</v>
      </c>
    </row>
    <row r="265" spans="4:7">
      <c r="D265">
        <v>538</v>
      </c>
      <c r="G265" s="160">
        <v>47322</v>
      </c>
    </row>
    <row r="266" spans="4:7">
      <c r="D266">
        <v>540</v>
      </c>
      <c r="G266" s="160">
        <v>47329</v>
      </c>
    </row>
    <row r="267" spans="4:7">
      <c r="D267">
        <v>542</v>
      </c>
      <c r="G267" s="160">
        <v>47336</v>
      </c>
    </row>
    <row r="268" spans="4:7">
      <c r="D268">
        <v>544</v>
      </c>
      <c r="G268" s="160">
        <v>47343</v>
      </c>
    </row>
    <row r="269" spans="4:7">
      <c r="D269">
        <v>546</v>
      </c>
      <c r="G269" s="160">
        <v>47350</v>
      </c>
    </row>
    <row r="270" spans="4:7">
      <c r="D270">
        <v>548</v>
      </c>
      <c r="G270" s="160">
        <v>47357</v>
      </c>
    </row>
    <row r="271" spans="4:7">
      <c r="D271">
        <v>550</v>
      </c>
      <c r="G271" s="160">
        <v>47364</v>
      </c>
    </row>
    <row r="272" spans="4:7">
      <c r="D272">
        <v>552</v>
      </c>
      <c r="G272" s="160">
        <v>47371</v>
      </c>
    </row>
    <row r="273" spans="4:7">
      <c r="D273">
        <v>554</v>
      </c>
      <c r="G273" s="160">
        <v>47378</v>
      </c>
    </row>
    <row r="274" spans="4:7">
      <c r="D274">
        <v>556</v>
      </c>
      <c r="G274" s="160">
        <v>47385</v>
      </c>
    </row>
    <row r="275" spans="4:7">
      <c r="D275">
        <v>558</v>
      </c>
      <c r="G275" s="160">
        <v>47392</v>
      </c>
    </row>
    <row r="276" spans="4:7">
      <c r="D276">
        <v>560</v>
      </c>
      <c r="G276" s="160">
        <v>47399</v>
      </c>
    </row>
    <row r="277" spans="4:7">
      <c r="D277">
        <v>562</v>
      </c>
      <c r="G277" s="160">
        <v>47406</v>
      </c>
    </row>
    <row r="278" spans="4:7">
      <c r="D278">
        <v>564</v>
      </c>
      <c r="G278" s="160">
        <v>47413</v>
      </c>
    </row>
    <row r="279" spans="4:7">
      <c r="D279">
        <v>566</v>
      </c>
      <c r="G279" s="160">
        <v>47420</v>
      </c>
    </row>
    <row r="280" spans="4:7">
      <c r="D280">
        <v>568</v>
      </c>
      <c r="G280" s="160">
        <v>47427</v>
      </c>
    </row>
    <row r="281" spans="4:7">
      <c r="D281">
        <v>570</v>
      </c>
      <c r="G281" s="160">
        <v>47434</v>
      </c>
    </row>
    <row r="282" spans="4:7">
      <c r="D282">
        <v>572</v>
      </c>
      <c r="G282" s="160">
        <v>47441</v>
      </c>
    </row>
    <row r="283" spans="4:7">
      <c r="D283">
        <v>574</v>
      </c>
      <c r="G283" s="160">
        <v>47448</v>
      </c>
    </row>
    <row r="284" spans="4:7">
      <c r="D284">
        <v>576</v>
      </c>
      <c r="G284" s="160">
        <v>47455</v>
      </c>
    </row>
    <row r="285" spans="4:7">
      <c r="D285">
        <v>578</v>
      </c>
      <c r="G285" s="160">
        <v>47462</v>
      </c>
    </row>
    <row r="286" spans="4:7">
      <c r="D286">
        <v>580</v>
      </c>
      <c r="G286" s="160">
        <v>47469</v>
      </c>
    </row>
    <row r="287" spans="4:7">
      <c r="D287">
        <v>582</v>
      </c>
      <c r="G287" s="160">
        <v>47476</v>
      </c>
    </row>
    <row r="288" spans="4:7">
      <c r="D288">
        <v>584</v>
      </c>
      <c r="G288" s="160">
        <v>47483</v>
      </c>
    </row>
    <row r="289" spans="4:7">
      <c r="D289">
        <v>586</v>
      </c>
      <c r="G289" s="160">
        <v>47490</v>
      </c>
    </row>
    <row r="290" spans="4:7">
      <c r="D290">
        <v>588</v>
      </c>
      <c r="G290" s="160">
        <v>47497</v>
      </c>
    </row>
    <row r="291" spans="4:7">
      <c r="D291">
        <v>590</v>
      </c>
      <c r="G291" s="160">
        <v>47504</v>
      </c>
    </row>
    <row r="292" spans="4:7">
      <c r="D292">
        <v>592</v>
      </c>
      <c r="G292" s="160">
        <v>47511</v>
      </c>
    </row>
    <row r="293" spans="4:7">
      <c r="D293">
        <v>594</v>
      </c>
      <c r="G293" s="160">
        <v>47518</v>
      </c>
    </row>
    <row r="294" spans="4:7">
      <c r="D294">
        <v>596</v>
      </c>
      <c r="G294" s="160">
        <v>47525</v>
      </c>
    </row>
    <row r="295" spans="4:7">
      <c r="D295">
        <v>598</v>
      </c>
      <c r="G295" s="160">
        <v>47532</v>
      </c>
    </row>
    <row r="296" spans="4:7">
      <c r="D296">
        <v>600</v>
      </c>
      <c r="G296" s="160">
        <v>47539</v>
      </c>
    </row>
    <row r="297" spans="4:7">
      <c r="D297">
        <v>602</v>
      </c>
      <c r="G297" s="160">
        <v>47546</v>
      </c>
    </row>
    <row r="298" spans="4:7">
      <c r="D298">
        <v>604</v>
      </c>
      <c r="G298" s="160">
        <v>47553</v>
      </c>
    </row>
    <row r="299" spans="4:7">
      <c r="D299">
        <v>606</v>
      </c>
      <c r="G299" s="160">
        <v>47560</v>
      </c>
    </row>
    <row r="300" spans="4:7">
      <c r="D300">
        <v>608</v>
      </c>
      <c r="G300" s="160">
        <v>47567</v>
      </c>
    </row>
    <row r="301" spans="4:7">
      <c r="D301">
        <v>610</v>
      </c>
      <c r="G301" s="160">
        <v>47574</v>
      </c>
    </row>
    <row r="302" spans="4:7">
      <c r="D302">
        <v>612</v>
      </c>
      <c r="G302" s="160">
        <v>47581</v>
      </c>
    </row>
    <row r="303" spans="4:7">
      <c r="D303">
        <v>614</v>
      </c>
      <c r="G303" s="160">
        <v>47588</v>
      </c>
    </row>
    <row r="304" spans="4:7">
      <c r="D304">
        <v>616</v>
      </c>
      <c r="G304" s="160">
        <v>47595</v>
      </c>
    </row>
    <row r="305" spans="4:7">
      <c r="D305">
        <v>618</v>
      </c>
      <c r="G305" s="160">
        <v>47602</v>
      </c>
    </row>
    <row r="306" spans="4:7">
      <c r="D306">
        <v>620</v>
      </c>
      <c r="G306" s="160">
        <v>47609</v>
      </c>
    </row>
    <row r="307" spans="4:7">
      <c r="D307">
        <v>622</v>
      </c>
      <c r="G307" s="160">
        <v>47616</v>
      </c>
    </row>
    <row r="308" spans="4:7">
      <c r="D308">
        <v>624</v>
      </c>
      <c r="G308" s="160">
        <v>47623</v>
      </c>
    </row>
    <row r="309" spans="4:7">
      <c r="D309">
        <v>626</v>
      </c>
      <c r="G309" s="160">
        <v>47630</v>
      </c>
    </row>
    <row r="310" spans="4:7">
      <c r="D310">
        <v>628</v>
      </c>
      <c r="G310" s="160">
        <v>47637</v>
      </c>
    </row>
    <row r="311" spans="4:7">
      <c r="D311">
        <v>630</v>
      </c>
      <c r="G311" s="160">
        <v>47644</v>
      </c>
    </row>
    <row r="312" spans="4:7">
      <c r="D312">
        <v>632</v>
      </c>
      <c r="G312" s="160">
        <v>47651</v>
      </c>
    </row>
    <row r="313" spans="4:7">
      <c r="D313">
        <v>634</v>
      </c>
      <c r="G313" s="160">
        <v>47658</v>
      </c>
    </row>
    <row r="314" spans="4:7">
      <c r="D314">
        <v>636</v>
      </c>
      <c r="G314" s="160">
        <v>47665</v>
      </c>
    </row>
    <row r="315" spans="4:7">
      <c r="D315">
        <v>638</v>
      </c>
      <c r="G315" s="160">
        <v>47672</v>
      </c>
    </row>
    <row r="316" spans="4:7">
      <c r="D316">
        <v>640</v>
      </c>
      <c r="G316" s="160">
        <v>47679</v>
      </c>
    </row>
    <row r="317" spans="4:7">
      <c r="D317">
        <v>642</v>
      </c>
      <c r="G317" s="160">
        <v>47686</v>
      </c>
    </row>
    <row r="318" spans="4:7">
      <c r="D318">
        <v>644</v>
      </c>
      <c r="G318" s="160">
        <v>47693</v>
      </c>
    </row>
    <row r="319" spans="4:7">
      <c r="D319">
        <v>646</v>
      </c>
      <c r="G319" s="160">
        <v>47700</v>
      </c>
    </row>
    <row r="320" spans="4:7">
      <c r="D320">
        <v>648</v>
      </c>
      <c r="G320" s="160">
        <v>47707</v>
      </c>
    </row>
    <row r="321" spans="4:7">
      <c r="D321">
        <v>650</v>
      </c>
      <c r="G321" s="160">
        <v>47714</v>
      </c>
    </row>
    <row r="322" spans="4:7">
      <c r="D322">
        <v>652</v>
      </c>
      <c r="G322" s="160">
        <v>47721</v>
      </c>
    </row>
    <row r="323" spans="4:7">
      <c r="D323">
        <v>654</v>
      </c>
      <c r="G323" s="160">
        <v>47728</v>
      </c>
    </row>
    <row r="324" spans="4:7">
      <c r="D324">
        <v>656</v>
      </c>
      <c r="G324" s="160">
        <v>47735</v>
      </c>
    </row>
    <row r="325" spans="4:7">
      <c r="D325">
        <v>658</v>
      </c>
      <c r="G325" s="160">
        <v>47742</v>
      </c>
    </row>
    <row r="326" spans="4:7">
      <c r="D326">
        <v>660</v>
      </c>
      <c r="G326" s="160">
        <v>47749</v>
      </c>
    </row>
    <row r="327" spans="4:7">
      <c r="D327">
        <v>662</v>
      </c>
      <c r="G327" s="160">
        <v>47756</v>
      </c>
    </row>
    <row r="328" spans="4:7">
      <c r="D328">
        <v>664</v>
      </c>
      <c r="G328" s="160">
        <v>47763</v>
      </c>
    </row>
    <row r="329" spans="4:7">
      <c r="D329">
        <v>666</v>
      </c>
      <c r="G329" s="160">
        <v>47770</v>
      </c>
    </row>
    <row r="330" spans="4:7">
      <c r="D330">
        <v>668</v>
      </c>
      <c r="G330" s="160">
        <v>47777</v>
      </c>
    </row>
    <row r="331" spans="4:7">
      <c r="D331">
        <v>670</v>
      </c>
      <c r="G331" s="160">
        <v>47784</v>
      </c>
    </row>
    <row r="332" spans="4:7">
      <c r="D332">
        <v>672</v>
      </c>
      <c r="G332" s="160">
        <v>47791</v>
      </c>
    </row>
    <row r="333" spans="4:7">
      <c r="D333">
        <v>674</v>
      </c>
      <c r="G333" s="160">
        <v>47798</v>
      </c>
    </row>
    <row r="334" spans="4:7">
      <c r="D334">
        <v>676</v>
      </c>
      <c r="G334" s="160">
        <v>47805</v>
      </c>
    </row>
    <row r="335" spans="4:7">
      <c r="D335">
        <v>678</v>
      </c>
      <c r="G335" s="160">
        <v>47812</v>
      </c>
    </row>
    <row r="336" spans="4:7">
      <c r="D336">
        <v>680</v>
      </c>
      <c r="G336" s="160">
        <v>47819</v>
      </c>
    </row>
    <row r="337" spans="4:7">
      <c r="D337">
        <v>682</v>
      </c>
      <c r="G337" s="160">
        <v>47826</v>
      </c>
    </row>
    <row r="338" spans="4:7">
      <c r="D338">
        <v>684</v>
      </c>
      <c r="G338" s="160">
        <v>47833</v>
      </c>
    </row>
    <row r="339" spans="4:7">
      <c r="D339">
        <v>686</v>
      </c>
      <c r="G339" s="160">
        <v>47840</v>
      </c>
    </row>
    <row r="340" spans="4:7">
      <c r="D340">
        <v>688</v>
      </c>
      <c r="G340" s="160">
        <v>47847</v>
      </c>
    </row>
    <row r="341" spans="4:7">
      <c r="D341">
        <v>690</v>
      </c>
    </row>
    <row r="342" spans="4:7">
      <c r="D342">
        <v>692</v>
      </c>
    </row>
    <row r="343" spans="4:7">
      <c r="D343">
        <v>694</v>
      </c>
    </row>
    <row r="344" spans="4:7">
      <c r="D344">
        <v>696</v>
      </c>
    </row>
    <row r="345" spans="4:7">
      <c r="D345">
        <v>698</v>
      </c>
    </row>
    <row r="346" spans="4:7">
      <c r="D346">
        <v>700</v>
      </c>
    </row>
    <row r="347" spans="4:7">
      <c r="D347">
        <v>702</v>
      </c>
    </row>
    <row r="348" spans="4:7">
      <c r="D348">
        <v>704</v>
      </c>
    </row>
    <row r="349" spans="4:7">
      <c r="D349">
        <v>706</v>
      </c>
    </row>
    <row r="350" spans="4:7">
      <c r="D350">
        <v>708</v>
      </c>
    </row>
    <row r="351" spans="4:7">
      <c r="D351">
        <v>710</v>
      </c>
    </row>
    <row r="352" spans="4:7">
      <c r="D352">
        <v>712</v>
      </c>
    </row>
    <row r="353" spans="4:4">
      <c r="D353">
        <v>714</v>
      </c>
    </row>
    <row r="354" spans="4:4">
      <c r="D354">
        <v>716</v>
      </c>
    </row>
    <row r="355" spans="4:4">
      <c r="D355">
        <v>718</v>
      </c>
    </row>
    <row r="356" spans="4:4">
      <c r="D356">
        <v>720</v>
      </c>
    </row>
    <row r="357" spans="4:4">
      <c r="D357">
        <v>722</v>
      </c>
    </row>
    <row r="358" spans="4:4">
      <c r="D358">
        <v>724</v>
      </c>
    </row>
    <row r="359" spans="4:4">
      <c r="D359">
        <v>726</v>
      </c>
    </row>
    <row r="360" spans="4:4">
      <c r="D360">
        <v>728</v>
      </c>
    </row>
    <row r="361" spans="4:4">
      <c r="D361">
        <v>730</v>
      </c>
    </row>
    <row r="362" spans="4:4">
      <c r="D362">
        <v>732</v>
      </c>
    </row>
    <row r="363" spans="4:4">
      <c r="D363">
        <v>734</v>
      </c>
    </row>
    <row r="364" spans="4:4">
      <c r="D364">
        <v>736</v>
      </c>
    </row>
    <row r="365" spans="4:4">
      <c r="D365">
        <v>738</v>
      </c>
    </row>
    <row r="366" spans="4:4">
      <c r="D366">
        <v>740</v>
      </c>
    </row>
    <row r="367" spans="4:4">
      <c r="D367">
        <v>742</v>
      </c>
    </row>
    <row r="368" spans="4:4">
      <c r="D368">
        <v>744</v>
      </c>
    </row>
    <row r="369" spans="4:4">
      <c r="D369">
        <v>746</v>
      </c>
    </row>
    <row r="370" spans="4:4">
      <c r="D370">
        <v>748</v>
      </c>
    </row>
    <row r="371" spans="4:4">
      <c r="D371">
        <v>750</v>
      </c>
    </row>
    <row r="372" spans="4:4">
      <c r="D372">
        <v>752</v>
      </c>
    </row>
    <row r="373" spans="4:4">
      <c r="D373">
        <v>754</v>
      </c>
    </row>
    <row r="374" spans="4:4">
      <c r="D374">
        <v>756</v>
      </c>
    </row>
    <row r="375" spans="4:4">
      <c r="D375">
        <v>758</v>
      </c>
    </row>
    <row r="376" spans="4:4">
      <c r="D376">
        <v>760</v>
      </c>
    </row>
    <row r="377" spans="4:4">
      <c r="D377">
        <v>762</v>
      </c>
    </row>
    <row r="378" spans="4:4">
      <c r="D378">
        <v>764</v>
      </c>
    </row>
    <row r="379" spans="4:4">
      <c r="D379">
        <v>766</v>
      </c>
    </row>
    <row r="380" spans="4:4">
      <c r="D380">
        <v>768</v>
      </c>
    </row>
    <row r="381" spans="4:4">
      <c r="D381">
        <v>770</v>
      </c>
    </row>
    <row r="382" spans="4:4">
      <c r="D382">
        <v>772</v>
      </c>
    </row>
    <row r="383" spans="4:4">
      <c r="D383">
        <v>774</v>
      </c>
    </row>
    <row r="384" spans="4:4">
      <c r="D384">
        <v>776</v>
      </c>
    </row>
    <row r="385" spans="4:4">
      <c r="D385">
        <v>778</v>
      </c>
    </row>
    <row r="386" spans="4:4">
      <c r="D386">
        <v>780</v>
      </c>
    </row>
    <row r="387" spans="4:4">
      <c r="D387">
        <v>782</v>
      </c>
    </row>
    <row r="388" spans="4:4">
      <c r="D388">
        <v>784</v>
      </c>
    </row>
    <row r="389" spans="4:4">
      <c r="D389">
        <v>786</v>
      </c>
    </row>
    <row r="390" spans="4:4">
      <c r="D390">
        <v>788</v>
      </c>
    </row>
    <row r="391" spans="4:4">
      <c r="D391">
        <v>790</v>
      </c>
    </row>
    <row r="392" spans="4:4">
      <c r="D392">
        <v>792</v>
      </c>
    </row>
    <row r="393" spans="4:4">
      <c r="D393">
        <v>794</v>
      </c>
    </row>
    <row r="394" spans="4:4">
      <c r="D394">
        <v>796</v>
      </c>
    </row>
    <row r="395" spans="4:4">
      <c r="D395">
        <v>798</v>
      </c>
    </row>
    <row r="396" spans="4:4">
      <c r="D396">
        <v>800</v>
      </c>
    </row>
    <row r="397" spans="4:4">
      <c r="D397">
        <v>802</v>
      </c>
    </row>
    <row r="398" spans="4:4">
      <c r="D398">
        <v>804</v>
      </c>
    </row>
    <row r="399" spans="4:4">
      <c r="D399">
        <v>806</v>
      </c>
    </row>
    <row r="400" spans="4:4">
      <c r="D400">
        <v>808</v>
      </c>
    </row>
    <row r="401" spans="4:4">
      <c r="D401">
        <v>810</v>
      </c>
    </row>
    <row r="402" spans="4:4">
      <c r="D402">
        <v>812</v>
      </c>
    </row>
    <row r="403" spans="4:4">
      <c r="D403">
        <v>814</v>
      </c>
    </row>
    <row r="404" spans="4:4">
      <c r="D404">
        <v>816</v>
      </c>
    </row>
    <row r="405" spans="4:4">
      <c r="D405">
        <v>818</v>
      </c>
    </row>
    <row r="406" spans="4:4">
      <c r="D406">
        <v>820</v>
      </c>
    </row>
    <row r="407" spans="4:4">
      <c r="D407">
        <v>822</v>
      </c>
    </row>
    <row r="408" spans="4:4">
      <c r="D408">
        <v>824</v>
      </c>
    </row>
    <row r="409" spans="4:4">
      <c r="D409">
        <v>826</v>
      </c>
    </row>
    <row r="410" spans="4:4">
      <c r="D410">
        <v>828</v>
      </c>
    </row>
    <row r="411" spans="4:4">
      <c r="D411">
        <v>830</v>
      </c>
    </row>
    <row r="412" spans="4:4">
      <c r="D412">
        <v>832</v>
      </c>
    </row>
    <row r="413" spans="4:4">
      <c r="D413">
        <v>834</v>
      </c>
    </row>
    <row r="414" spans="4:4">
      <c r="D414">
        <v>836</v>
      </c>
    </row>
    <row r="415" spans="4:4">
      <c r="D415">
        <v>838</v>
      </c>
    </row>
    <row r="416" spans="4:4">
      <c r="D416">
        <v>840</v>
      </c>
    </row>
    <row r="417" spans="4:4">
      <c r="D417">
        <v>842</v>
      </c>
    </row>
    <row r="418" spans="4:4">
      <c r="D418">
        <v>844</v>
      </c>
    </row>
    <row r="419" spans="4:4">
      <c r="D419">
        <v>846</v>
      </c>
    </row>
    <row r="420" spans="4:4">
      <c r="D420">
        <v>848</v>
      </c>
    </row>
    <row r="421" spans="4:4">
      <c r="D421">
        <v>850</v>
      </c>
    </row>
    <row r="422" spans="4:4">
      <c r="D422">
        <v>852</v>
      </c>
    </row>
    <row r="423" spans="4:4">
      <c r="D423">
        <v>854</v>
      </c>
    </row>
    <row r="424" spans="4:4">
      <c r="D424">
        <v>856</v>
      </c>
    </row>
    <row r="425" spans="4:4">
      <c r="D425">
        <v>858</v>
      </c>
    </row>
    <row r="426" spans="4:4">
      <c r="D426">
        <v>860</v>
      </c>
    </row>
    <row r="427" spans="4:4">
      <c r="D427">
        <v>862</v>
      </c>
    </row>
    <row r="428" spans="4:4">
      <c r="D428">
        <v>864</v>
      </c>
    </row>
    <row r="429" spans="4:4">
      <c r="D429">
        <v>866</v>
      </c>
    </row>
    <row r="430" spans="4:4">
      <c r="D430">
        <v>868</v>
      </c>
    </row>
    <row r="431" spans="4:4">
      <c r="D431">
        <v>870</v>
      </c>
    </row>
    <row r="432" spans="4:4">
      <c r="D432">
        <v>872</v>
      </c>
    </row>
    <row r="433" spans="4:4">
      <c r="D433">
        <v>874</v>
      </c>
    </row>
    <row r="434" spans="4:4">
      <c r="D434">
        <v>876</v>
      </c>
    </row>
    <row r="435" spans="4:4">
      <c r="D435">
        <v>878</v>
      </c>
    </row>
    <row r="436" spans="4:4">
      <c r="D436">
        <v>880</v>
      </c>
    </row>
    <row r="437" spans="4:4">
      <c r="D437">
        <v>882</v>
      </c>
    </row>
    <row r="438" spans="4:4">
      <c r="D438">
        <v>884</v>
      </c>
    </row>
    <row r="439" spans="4:4">
      <c r="D439">
        <v>886</v>
      </c>
    </row>
    <row r="440" spans="4:4">
      <c r="D440">
        <v>888</v>
      </c>
    </row>
    <row r="441" spans="4:4">
      <c r="D441">
        <v>890</v>
      </c>
    </row>
    <row r="442" spans="4:4">
      <c r="D442">
        <v>892</v>
      </c>
    </row>
    <row r="443" spans="4:4">
      <c r="D443">
        <v>894</v>
      </c>
    </row>
    <row r="444" spans="4:4">
      <c r="D444">
        <v>896</v>
      </c>
    </row>
    <row r="445" spans="4:4">
      <c r="D445">
        <v>898</v>
      </c>
    </row>
    <row r="446" spans="4:4">
      <c r="D446">
        <v>900</v>
      </c>
    </row>
    <row r="447" spans="4:4">
      <c r="D447">
        <v>902</v>
      </c>
    </row>
    <row r="448" spans="4:4">
      <c r="D448">
        <v>904</v>
      </c>
    </row>
    <row r="449" spans="4:4">
      <c r="D449">
        <v>906</v>
      </c>
    </row>
    <row r="450" spans="4:4">
      <c r="D450">
        <v>908</v>
      </c>
    </row>
    <row r="451" spans="4:4">
      <c r="D451">
        <v>910</v>
      </c>
    </row>
    <row r="452" spans="4:4">
      <c r="D452">
        <v>912</v>
      </c>
    </row>
    <row r="453" spans="4:4">
      <c r="D453">
        <v>914</v>
      </c>
    </row>
    <row r="454" spans="4:4">
      <c r="D454">
        <v>916</v>
      </c>
    </row>
    <row r="455" spans="4:4">
      <c r="D455">
        <v>918</v>
      </c>
    </row>
    <row r="456" spans="4:4">
      <c r="D456">
        <v>920</v>
      </c>
    </row>
    <row r="457" spans="4:4">
      <c r="D457">
        <v>922</v>
      </c>
    </row>
    <row r="458" spans="4:4">
      <c r="D458">
        <v>924</v>
      </c>
    </row>
    <row r="459" spans="4:4">
      <c r="D459">
        <v>926</v>
      </c>
    </row>
    <row r="460" spans="4:4">
      <c r="D460">
        <v>928</v>
      </c>
    </row>
    <row r="461" spans="4:4">
      <c r="D461">
        <v>930</v>
      </c>
    </row>
    <row r="462" spans="4:4">
      <c r="D462">
        <v>932</v>
      </c>
    </row>
    <row r="463" spans="4:4">
      <c r="D463">
        <v>934</v>
      </c>
    </row>
    <row r="464" spans="4:4">
      <c r="D464">
        <v>936</v>
      </c>
    </row>
    <row r="465" spans="4:4">
      <c r="D465">
        <v>938</v>
      </c>
    </row>
    <row r="466" spans="4:4">
      <c r="D466">
        <v>940</v>
      </c>
    </row>
    <row r="467" spans="4:4">
      <c r="D467">
        <v>942</v>
      </c>
    </row>
    <row r="468" spans="4:4">
      <c r="D468">
        <v>944</v>
      </c>
    </row>
    <row r="469" spans="4:4">
      <c r="D469">
        <v>946</v>
      </c>
    </row>
    <row r="470" spans="4:4">
      <c r="D470">
        <v>948</v>
      </c>
    </row>
    <row r="471" spans="4:4">
      <c r="D471">
        <v>950</v>
      </c>
    </row>
    <row r="472" spans="4:4">
      <c r="D472">
        <v>952</v>
      </c>
    </row>
    <row r="473" spans="4:4">
      <c r="D473">
        <v>954</v>
      </c>
    </row>
    <row r="474" spans="4:4">
      <c r="D474">
        <v>956</v>
      </c>
    </row>
    <row r="475" spans="4:4">
      <c r="D475">
        <v>958</v>
      </c>
    </row>
    <row r="476" spans="4:4">
      <c r="D476">
        <v>960</v>
      </c>
    </row>
    <row r="477" spans="4:4">
      <c r="D477">
        <v>962</v>
      </c>
    </row>
    <row r="478" spans="4:4">
      <c r="D478">
        <v>964</v>
      </c>
    </row>
    <row r="479" spans="4:4">
      <c r="D479">
        <v>966</v>
      </c>
    </row>
    <row r="480" spans="4:4">
      <c r="D480">
        <v>968</v>
      </c>
    </row>
    <row r="481" spans="4:4">
      <c r="D481">
        <v>970</v>
      </c>
    </row>
    <row r="482" spans="4:4">
      <c r="D482">
        <v>972</v>
      </c>
    </row>
    <row r="483" spans="4:4">
      <c r="D483">
        <v>974</v>
      </c>
    </row>
    <row r="484" spans="4:4">
      <c r="D484">
        <v>976</v>
      </c>
    </row>
    <row r="485" spans="4:4">
      <c r="D485">
        <v>978</v>
      </c>
    </row>
    <row r="486" spans="4:4">
      <c r="D486">
        <v>980</v>
      </c>
    </row>
    <row r="487" spans="4:4">
      <c r="D487">
        <v>982</v>
      </c>
    </row>
    <row r="488" spans="4:4">
      <c r="D488">
        <v>984</v>
      </c>
    </row>
    <row r="489" spans="4:4">
      <c r="D489">
        <v>986</v>
      </c>
    </row>
    <row r="490" spans="4:4">
      <c r="D490">
        <v>988</v>
      </c>
    </row>
    <row r="491" spans="4:4">
      <c r="D491">
        <v>990</v>
      </c>
    </row>
    <row r="492" spans="4:4">
      <c r="D492">
        <v>992</v>
      </c>
    </row>
    <row r="493" spans="4:4">
      <c r="D493">
        <v>994</v>
      </c>
    </row>
    <row r="494" spans="4:4">
      <c r="D494">
        <v>996</v>
      </c>
    </row>
    <row r="495" spans="4:4">
      <c r="D495">
        <v>998</v>
      </c>
    </row>
    <row r="496" spans="4:4">
      <c r="D496">
        <v>1000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>
      <selection activeCell="N8" sqref="N8"/>
    </sheetView>
  </sheetViews>
  <sheetFormatPr defaultRowHeight="15"/>
  <sheetData>
    <row r="1" spans="1:4">
      <c r="A1" t="s">
        <v>5</v>
      </c>
      <c r="B1" t="s">
        <v>6</v>
      </c>
      <c r="C1" t="s">
        <v>7</v>
      </c>
      <c r="D1" t="s">
        <v>8</v>
      </c>
    </row>
    <row r="2" spans="1:4">
      <c r="A2" t="s">
        <v>9</v>
      </c>
      <c r="B2">
        <v>50</v>
      </c>
      <c r="C2">
        <v>1.5</v>
      </c>
    </row>
    <row r="3" spans="1:4">
      <c r="A3" t="s">
        <v>10</v>
      </c>
      <c r="B3">
        <v>20</v>
      </c>
      <c r="C3">
        <v>8</v>
      </c>
    </row>
    <row r="4" spans="1:4">
      <c r="A4" t="s">
        <v>11</v>
      </c>
      <c r="B4">
        <v>100</v>
      </c>
      <c r="C4">
        <v>0.8</v>
      </c>
    </row>
    <row r="8" spans="1:4">
      <c r="A8" t="s">
        <v>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A1273-2578-4B7F-8102-88C16958A920}">
  <dimension ref="A2:E12"/>
  <sheetViews>
    <sheetView tabSelected="1" workbookViewId="0">
      <selection activeCell="E1" sqref="E1:E1048576"/>
    </sheetView>
  </sheetViews>
  <sheetFormatPr defaultRowHeight="15"/>
  <cols>
    <col min="3" max="3" width="12.7109375" bestFit="1" customWidth="1"/>
    <col min="5" max="5" width="15.5703125" customWidth="1"/>
  </cols>
  <sheetData>
    <row r="2" spans="1:5">
      <c r="A2" t="s">
        <v>403</v>
      </c>
      <c r="B2" t="s">
        <v>404</v>
      </c>
      <c r="C2" t="s">
        <v>405</v>
      </c>
      <c r="D2" t="s">
        <v>406</v>
      </c>
      <c r="E2" t="s">
        <v>16</v>
      </c>
    </row>
    <row r="3" spans="1:5" ht="45">
      <c r="A3" s="161">
        <v>1</v>
      </c>
      <c r="B3" s="161" t="s">
        <v>407</v>
      </c>
      <c r="C3" s="161">
        <v>150</v>
      </c>
      <c r="D3" s="162">
        <v>45664</v>
      </c>
      <c r="E3" s="161" t="s">
        <v>417</v>
      </c>
    </row>
    <row r="4" spans="1:5" ht="45">
      <c r="A4" s="161">
        <v>1002</v>
      </c>
      <c r="B4" s="161" t="s">
        <v>408</v>
      </c>
      <c r="C4" s="161">
        <v>2500</v>
      </c>
      <c r="D4" s="161"/>
      <c r="E4" s="161" t="s">
        <v>418</v>
      </c>
    </row>
    <row r="5" spans="1:5" ht="30">
      <c r="A5" s="161">
        <v>1003</v>
      </c>
      <c r="B5" s="161" t="s">
        <v>409</v>
      </c>
      <c r="C5" s="161">
        <v>300</v>
      </c>
      <c r="D5" s="162">
        <v>45731</v>
      </c>
      <c r="E5" s="161" t="s">
        <v>417</v>
      </c>
    </row>
    <row r="6" spans="1:5" ht="30">
      <c r="A6" s="161">
        <v>1004</v>
      </c>
      <c r="B6" s="161" t="s">
        <v>410</v>
      </c>
      <c r="C6" s="161">
        <v>584</v>
      </c>
      <c r="D6" s="162">
        <v>45751</v>
      </c>
      <c r="E6" s="161" t="s">
        <v>417</v>
      </c>
    </row>
    <row r="7" spans="1:5" ht="30">
      <c r="A7" s="161">
        <v>1005</v>
      </c>
      <c r="B7" s="161" t="s">
        <v>411</v>
      </c>
      <c r="C7" s="161">
        <v>521.20000000000005</v>
      </c>
      <c r="D7" s="161"/>
      <c r="E7" s="161" t="s">
        <v>418</v>
      </c>
    </row>
    <row r="8" spans="1:5" ht="30">
      <c r="A8" s="161">
        <v>1006</v>
      </c>
      <c r="B8" s="161" t="s">
        <v>412</v>
      </c>
      <c r="C8" s="161">
        <v>258.5</v>
      </c>
      <c r="D8" s="162">
        <v>45806</v>
      </c>
      <c r="E8" s="161" t="s">
        <v>417</v>
      </c>
    </row>
    <row r="9" spans="1:5" ht="30">
      <c r="A9" s="161">
        <v>1007</v>
      </c>
      <c r="B9" s="161" t="s">
        <v>413</v>
      </c>
      <c r="C9" s="161">
        <v>100.01</v>
      </c>
      <c r="D9" s="161"/>
      <c r="E9" s="161" t="s">
        <v>418</v>
      </c>
    </row>
    <row r="10" spans="1:5" ht="30">
      <c r="A10" s="161">
        <v>1008</v>
      </c>
      <c r="B10" s="161" t="s">
        <v>414</v>
      </c>
      <c r="C10" s="161">
        <v>15.25</v>
      </c>
      <c r="D10" s="162">
        <v>45918</v>
      </c>
      <c r="E10" s="161" t="s">
        <v>417</v>
      </c>
    </row>
    <row r="11" spans="1:5" ht="30">
      <c r="A11" s="161">
        <v>1009</v>
      </c>
      <c r="B11" s="161" t="s">
        <v>415</v>
      </c>
      <c r="C11" s="161">
        <v>10.88</v>
      </c>
      <c r="D11" s="161"/>
      <c r="E11" s="161" t="s">
        <v>418</v>
      </c>
    </row>
    <row r="12" spans="1:5" ht="45">
      <c r="A12" s="161">
        <v>1010</v>
      </c>
      <c r="B12" s="161" t="s">
        <v>416</v>
      </c>
      <c r="C12" s="161">
        <v>2520</v>
      </c>
      <c r="D12" s="162">
        <v>45964</v>
      </c>
      <c r="E12" s="161" t="s">
        <v>417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755D7-5D7D-4C6A-88B1-8CF7AE047B59}">
  <sheetPr>
    <tabColor theme="4" tint="-0.249977111117893"/>
  </sheetPr>
  <dimension ref="A1:G17"/>
  <sheetViews>
    <sheetView topLeftCell="A4" zoomScale="145" zoomScaleNormal="145" workbookViewId="0">
      <selection activeCell="D14" sqref="D14:D17"/>
    </sheetView>
  </sheetViews>
  <sheetFormatPr defaultRowHeight="15"/>
  <cols>
    <col min="1" max="1" width="26.85546875" bestFit="1" customWidth="1"/>
    <col min="2" max="2" width="9.28515625" bestFit="1" customWidth="1"/>
    <col min="3" max="3" width="12.28515625" bestFit="1" customWidth="1"/>
    <col min="4" max="4" width="11.140625" bestFit="1" customWidth="1"/>
    <col min="6" max="6" width="10.5703125" bestFit="1" customWidth="1"/>
  </cols>
  <sheetData>
    <row r="1" spans="1:7">
      <c r="A1" s="56" t="s">
        <v>108</v>
      </c>
      <c r="B1" s="56"/>
      <c r="C1" s="56"/>
      <c r="D1" s="56"/>
    </row>
    <row r="2" spans="1:7">
      <c r="A2" s="48"/>
      <c r="B2" s="47"/>
      <c r="C2" s="47"/>
      <c r="D2" s="46"/>
    </row>
    <row r="3" spans="1:7" ht="33" customHeight="1">
      <c r="A3" s="55" t="s">
        <v>107</v>
      </c>
      <c r="B3" s="54"/>
      <c r="C3" s="53" t="s">
        <v>106</v>
      </c>
      <c r="D3" s="37">
        <v>200</v>
      </c>
    </row>
    <row r="4" spans="1:7">
      <c r="A4" s="48"/>
      <c r="B4" s="47"/>
      <c r="C4" s="47"/>
      <c r="D4" s="46"/>
    </row>
    <row r="5" spans="1:7">
      <c r="A5" s="45" t="s">
        <v>105</v>
      </c>
      <c r="B5" s="44"/>
      <c r="C5" s="44"/>
      <c r="D5" s="43"/>
      <c r="F5" t="s">
        <v>104</v>
      </c>
    </row>
    <row r="6" spans="1:7">
      <c r="A6" s="42" t="s">
        <v>94</v>
      </c>
      <c r="B6" s="42" t="s">
        <v>93</v>
      </c>
      <c r="C6" s="42" t="s">
        <v>37</v>
      </c>
      <c r="D6" s="42" t="s">
        <v>92</v>
      </c>
      <c r="F6" s="52" t="s">
        <v>103</v>
      </c>
      <c r="G6" s="52" t="s">
        <v>102</v>
      </c>
    </row>
    <row r="7" spans="1:7">
      <c r="A7" s="26" t="s">
        <v>91</v>
      </c>
      <c r="B7" s="30">
        <v>6</v>
      </c>
      <c r="C7" s="35">
        <f>B7*D$3</f>
        <v>1200</v>
      </c>
      <c r="D7" s="51"/>
      <c r="F7" t="s">
        <v>101</v>
      </c>
      <c r="G7" t="s">
        <v>100</v>
      </c>
    </row>
    <row r="8" spans="1:7">
      <c r="A8" s="26" t="s">
        <v>90</v>
      </c>
      <c r="B8" s="30">
        <v>5</v>
      </c>
      <c r="C8" s="35">
        <f>B8*D$3</f>
        <v>1000</v>
      </c>
      <c r="D8" s="51"/>
      <c r="F8" t="s">
        <v>99</v>
      </c>
      <c r="G8" t="s">
        <v>98</v>
      </c>
    </row>
    <row r="9" spans="1:7">
      <c r="A9" s="26" t="s">
        <v>97</v>
      </c>
      <c r="B9" s="30">
        <v>15</v>
      </c>
      <c r="C9" s="35">
        <f>B9*D$3</f>
        <v>3000</v>
      </c>
      <c r="D9" s="51"/>
      <c r="F9" s="50">
        <f>D3</f>
        <v>200</v>
      </c>
      <c r="G9" t="s">
        <v>96</v>
      </c>
    </row>
    <row r="10" spans="1:7">
      <c r="A10" s="41" t="s">
        <v>8</v>
      </c>
      <c r="B10" s="40">
        <f>SUM(B7:B9)</f>
        <v>26</v>
      </c>
      <c r="C10" s="39">
        <f>SUM(C7:C9)</f>
        <v>5200</v>
      </c>
      <c r="D10" s="49"/>
    </row>
    <row r="11" spans="1:7">
      <c r="A11" s="48"/>
      <c r="B11" s="47"/>
      <c r="C11" s="47"/>
      <c r="D11" s="46"/>
    </row>
    <row r="12" spans="1:7">
      <c r="A12" s="45" t="s">
        <v>95</v>
      </c>
      <c r="B12" s="44"/>
      <c r="C12" s="44"/>
      <c r="D12" s="43"/>
    </row>
    <row r="13" spans="1:7">
      <c r="A13" s="42" t="s">
        <v>94</v>
      </c>
      <c r="B13" s="42" t="s">
        <v>93</v>
      </c>
      <c r="C13" s="42" t="s">
        <v>37</v>
      </c>
      <c r="D13" s="42" t="s">
        <v>92</v>
      </c>
    </row>
    <row r="14" spans="1:7">
      <c r="A14" s="26" t="s">
        <v>91</v>
      </c>
      <c r="B14" s="30">
        <v>20</v>
      </c>
      <c r="C14" s="35">
        <f>B14*D$3</f>
        <v>4000</v>
      </c>
      <c r="D14" s="26"/>
    </row>
    <row r="15" spans="1:7">
      <c r="A15" s="26" t="s">
        <v>90</v>
      </c>
      <c r="B15" s="30">
        <v>8</v>
      </c>
      <c r="C15" s="35">
        <f>B15*D$3</f>
        <v>1600</v>
      </c>
      <c r="D15" s="26"/>
    </row>
    <row r="16" spans="1:7">
      <c r="A16" s="26" t="s">
        <v>89</v>
      </c>
      <c r="B16" s="30">
        <v>9</v>
      </c>
      <c r="C16" s="35">
        <f>B16*D$3</f>
        <v>1800</v>
      </c>
      <c r="D16" s="26"/>
    </row>
    <row r="17" spans="1:4">
      <c r="A17" s="41" t="s">
        <v>8</v>
      </c>
      <c r="B17" s="40">
        <f>SUM(B14:B16)</f>
        <v>37</v>
      </c>
      <c r="C17" s="39">
        <f>SUM(C14:C16)</f>
        <v>7400</v>
      </c>
      <c r="D17" s="26"/>
    </row>
  </sheetData>
  <mergeCells count="7">
    <mergeCell ref="A12:D12"/>
    <mergeCell ref="A11:D11"/>
    <mergeCell ref="A1:D1"/>
    <mergeCell ref="A2:D2"/>
    <mergeCell ref="A4:D4"/>
    <mergeCell ref="A3:B3"/>
    <mergeCell ref="A5:D5"/>
  </mergeCells>
  <conditionalFormatting sqref="D7:D10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{30A2366E-597B-4189-AC72-BB93A026C698}</x14:id>
        </ext>
      </extLst>
    </cfRule>
  </conditionalFormatting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0A2366E-597B-4189-AC72-BB93A026C6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D7:D10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4E301-70C7-46E7-9169-242BE8B1CB83}">
  <dimension ref="A2:G11"/>
  <sheetViews>
    <sheetView zoomScale="175" zoomScaleNormal="175" workbookViewId="0">
      <selection activeCell="D3" sqref="D3:E10"/>
    </sheetView>
  </sheetViews>
  <sheetFormatPr defaultRowHeight="15"/>
  <cols>
    <col min="1" max="1" width="13.28515625" bestFit="1" customWidth="1"/>
    <col min="2" max="2" width="10.42578125" bestFit="1" customWidth="1"/>
    <col min="4" max="4" width="11.28515625" bestFit="1" customWidth="1"/>
  </cols>
  <sheetData>
    <row r="2" spans="1:7" ht="24">
      <c r="A2" s="95" t="s">
        <v>5</v>
      </c>
      <c r="B2" s="95" t="s">
        <v>37</v>
      </c>
      <c r="C2" s="95" t="s">
        <v>6</v>
      </c>
      <c r="D2" s="95" t="s">
        <v>245</v>
      </c>
      <c r="E2" s="95" t="s">
        <v>244</v>
      </c>
      <c r="G2" s="95" t="s">
        <v>243</v>
      </c>
    </row>
    <row r="3" spans="1:7">
      <c r="A3" s="93" t="s">
        <v>242</v>
      </c>
      <c r="B3" s="91">
        <v>3.5</v>
      </c>
      <c r="C3" s="92">
        <v>19</v>
      </c>
      <c r="D3" s="91"/>
      <c r="E3" s="90"/>
      <c r="G3" s="94">
        <v>0.32</v>
      </c>
    </row>
    <row r="4" spans="1:7">
      <c r="A4" s="93" t="s">
        <v>241</v>
      </c>
      <c r="B4" s="91">
        <v>8</v>
      </c>
      <c r="C4" s="92">
        <v>12</v>
      </c>
      <c r="D4" s="91"/>
      <c r="E4" s="90"/>
    </row>
    <row r="5" spans="1:7">
      <c r="A5" s="93" t="s">
        <v>240</v>
      </c>
      <c r="B5" s="91">
        <v>89</v>
      </c>
      <c r="C5" s="92">
        <v>5</v>
      </c>
      <c r="D5" s="91"/>
      <c r="E5" s="90"/>
    </row>
    <row r="6" spans="1:7">
      <c r="A6" s="93" t="s">
        <v>239</v>
      </c>
      <c r="B6" s="91">
        <v>230</v>
      </c>
      <c r="C6" s="92">
        <v>20</v>
      </c>
      <c r="D6" s="91"/>
      <c r="E6" s="90"/>
    </row>
    <row r="7" spans="1:7">
      <c r="A7" s="93" t="s">
        <v>238</v>
      </c>
      <c r="B7" s="91">
        <v>590</v>
      </c>
      <c r="C7" s="92">
        <v>12</v>
      </c>
      <c r="D7" s="91"/>
      <c r="E7" s="90"/>
    </row>
    <row r="8" spans="1:7">
      <c r="A8" s="93" t="s">
        <v>237</v>
      </c>
      <c r="B8" s="91">
        <v>360</v>
      </c>
      <c r="C8" s="92">
        <v>15</v>
      </c>
      <c r="D8" s="91"/>
      <c r="E8" s="90"/>
    </row>
    <row r="9" spans="1:7">
      <c r="A9" s="93" t="s">
        <v>236</v>
      </c>
      <c r="B9" s="91">
        <v>50</v>
      </c>
      <c r="C9" s="92">
        <v>4</v>
      </c>
      <c r="D9" s="91"/>
      <c r="E9" s="90"/>
    </row>
    <row r="10" spans="1:7">
      <c r="A10" s="93" t="s">
        <v>235</v>
      </c>
      <c r="B10" s="91">
        <v>60</v>
      </c>
      <c r="C10" s="92">
        <v>15</v>
      </c>
      <c r="D10" s="91"/>
      <c r="E10" s="90"/>
    </row>
    <row r="11" spans="1:7">
      <c r="A11" s="89" t="s">
        <v>8</v>
      </c>
      <c r="B11" s="88"/>
      <c r="C11" s="88"/>
      <c r="D11" s="88"/>
      <c r="E11" s="87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>
      <selection activeCell="A7" sqref="A7"/>
    </sheetView>
  </sheetViews>
  <sheetFormatPr defaultRowHeight="15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 t="s">
        <v>17</v>
      </c>
      <c r="B2">
        <v>6</v>
      </c>
      <c r="C2">
        <v>8</v>
      </c>
    </row>
    <row r="3" spans="1:5">
      <c r="A3" t="s">
        <v>18</v>
      </c>
      <c r="B3">
        <v>4</v>
      </c>
      <c r="C3">
        <v>5</v>
      </c>
    </row>
    <row r="4" spans="1:5">
      <c r="A4" t="s">
        <v>19</v>
      </c>
      <c r="B4">
        <v>9</v>
      </c>
      <c r="C4">
        <v>7</v>
      </c>
    </row>
    <row r="7" spans="1:5">
      <c r="A7" t="s">
        <v>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BDE94-EAC9-4409-B1BF-A28B1A90831B}">
  <dimension ref="A1:H15"/>
  <sheetViews>
    <sheetView zoomScale="175" zoomScaleNormal="175" workbookViewId="0">
      <selection activeCell="E18" sqref="E18"/>
    </sheetView>
  </sheetViews>
  <sheetFormatPr defaultRowHeight="15"/>
  <cols>
    <col min="2" max="2" width="12.85546875" bestFit="1" customWidth="1"/>
    <col min="3" max="3" width="13.28515625" bestFit="1" customWidth="1"/>
    <col min="5" max="5" width="14.28515625" bestFit="1" customWidth="1"/>
  </cols>
  <sheetData>
    <row r="1" spans="1:8" ht="15.75" thickBot="1">
      <c r="A1" s="21" t="s">
        <v>70</v>
      </c>
      <c r="B1" s="20"/>
      <c r="C1" s="20"/>
      <c r="D1" s="20"/>
      <c r="E1" s="19"/>
    </row>
    <row r="2" spans="1:8" ht="45.75" thickBot="1">
      <c r="A2" s="17" t="s">
        <v>69</v>
      </c>
      <c r="B2" s="17" t="s">
        <v>68</v>
      </c>
      <c r="C2" s="17" t="s">
        <v>67</v>
      </c>
      <c r="D2" s="18" t="s">
        <v>66</v>
      </c>
      <c r="E2" s="17" t="s">
        <v>65</v>
      </c>
    </row>
    <row r="3" spans="1:8">
      <c r="A3" s="16"/>
      <c r="B3" s="15" t="s">
        <v>65</v>
      </c>
      <c r="C3" s="15"/>
      <c r="D3" s="15"/>
      <c r="E3" s="14">
        <v>100000</v>
      </c>
      <c r="G3" s="13" t="s">
        <v>62</v>
      </c>
      <c r="H3" t="s">
        <v>64</v>
      </c>
    </row>
    <row r="4" spans="1:8">
      <c r="A4" s="12">
        <v>44256</v>
      </c>
      <c r="B4" s="11" t="s">
        <v>63</v>
      </c>
      <c r="C4" s="5">
        <v>10000</v>
      </c>
      <c r="D4" s="10" t="s">
        <v>51</v>
      </c>
      <c r="E4" s="5"/>
      <c r="G4" s="13" t="s">
        <v>59</v>
      </c>
      <c r="H4" t="s">
        <v>55</v>
      </c>
    </row>
    <row r="5" spans="1:8">
      <c r="A5" s="12">
        <v>44261</v>
      </c>
      <c r="B5" s="11" t="s">
        <v>50</v>
      </c>
      <c r="C5" s="5">
        <v>25000</v>
      </c>
      <c r="D5" s="10" t="s">
        <v>49</v>
      </c>
      <c r="E5" s="5"/>
      <c r="G5" s="13" t="s">
        <v>56</v>
      </c>
      <c r="H5" t="s">
        <v>58</v>
      </c>
    </row>
    <row r="6" spans="1:8">
      <c r="A6" s="12">
        <v>44266</v>
      </c>
      <c r="B6" s="11" t="s">
        <v>54</v>
      </c>
      <c r="C6" s="5">
        <v>12500</v>
      </c>
      <c r="D6" s="10" t="s">
        <v>51</v>
      </c>
      <c r="E6" s="5"/>
      <c r="G6" s="13" t="s">
        <v>62</v>
      </c>
      <c r="H6" t="s">
        <v>61</v>
      </c>
    </row>
    <row r="7" spans="1:8">
      <c r="A7" s="12">
        <v>44271</v>
      </c>
      <c r="B7" s="11" t="s">
        <v>60</v>
      </c>
      <c r="C7" s="5">
        <v>20000</v>
      </c>
      <c r="D7" s="10" t="s">
        <v>51</v>
      </c>
      <c r="E7" s="5"/>
      <c r="G7" s="13" t="s">
        <v>59</v>
      </c>
      <c r="H7" t="s">
        <v>58</v>
      </c>
    </row>
    <row r="8" spans="1:8">
      <c r="A8" s="12">
        <v>44276</v>
      </c>
      <c r="B8" s="11" t="s">
        <v>57</v>
      </c>
      <c r="C8" s="5">
        <v>15000</v>
      </c>
      <c r="D8" s="10" t="s">
        <v>49</v>
      </c>
      <c r="E8" s="5"/>
      <c r="G8" s="13" t="s">
        <v>56</v>
      </c>
      <c r="H8" t="s">
        <v>55</v>
      </c>
    </row>
    <row r="9" spans="1:8">
      <c r="A9" s="12">
        <v>44281</v>
      </c>
      <c r="B9" s="11" t="s">
        <v>54</v>
      </c>
      <c r="C9" s="5">
        <v>10000</v>
      </c>
      <c r="D9" s="10" t="s">
        <v>51</v>
      </c>
      <c r="E9" s="5"/>
    </row>
    <row r="10" spans="1:8">
      <c r="A10" s="12">
        <v>44286</v>
      </c>
      <c r="B10" s="11" t="s">
        <v>50</v>
      </c>
      <c r="C10" s="5">
        <v>50</v>
      </c>
      <c r="D10" s="10" t="s">
        <v>49</v>
      </c>
      <c r="E10" s="5"/>
    </row>
    <row r="11" spans="1:8">
      <c r="A11" s="12">
        <v>44291</v>
      </c>
      <c r="B11" s="11" t="s">
        <v>53</v>
      </c>
      <c r="C11" s="5">
        <v>2000</v>
      </c>
      <c r="D11" s="10" t="s">
        <v>51</v>
      </c>
      <c r="E11" s="5"/>
    </row>
    <row r="12" spans="1:8">
      <c r="A12" s="12">
        <v>44296</v>
      </c>
      <c r="B12" s="11" t="s">
        <v>52</v>
      </c>
      <c r="C12" s="5">
        <v>75000</v>
      </c>
      <c r="D12" s="10" t="s">
        <v>51</v>
      </c>
      <c r="E12" s="5"/>
    </row>
    <row r="13" spans="1:8" ht="15.75" thickBot="1">
      <c r="A13" s="9">
        <v>44301</v>
      </c>
      <c r="B13" s="8" t="s">
        <v>50</v>
      </c>
      <c r="C13" s="7">
        <v>5000</v>
      </c>
      <c r="D13" s="6" t="s">
        <v>49</v>
      </c>
      <c r="E13" s="5"/>
    </row>
    <row r="15" spans="1:8">
      <c r="A15" t="s">
        <v>48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3F5BE-BA64-4B2D-839E-CD7CC7794161}">
  <dimension ref="A1:G19"/>
  <sheetViews>
    <sheetView zoomScale="130" zoomScaleNormal="130" workbookViewId="0">
      <selection activeCell="F2" sqref="F2"/>
    </sheetView>
  </sheetViews>
  <sheetFormatPr defaultRowHeight="15"/>
  <cols>
    <col min="1" max="2" width="9.85546875" bestFit="1" customWidth="1"/>
    <col min="3" max="3" width="10.5703125" bestFit="1" customWidth="1"/>
    <col min="4" max="4" width="13.5703125" bestFit="1" customWidth="1"/>
    <col min="5" max="5" width="13.85546875" bestFit="1" customWidth="1"/>
    <col min="6" max="6" width="11.85546875" customWidth="1"/>
  </cols>
  <sheetData>
    <row r="1" spans="1:6" ht="15.75" thickBot="1">
      <c r="A1" s="34" t="s">
        <v>88</v>
      </c>
      <c r="B1" s="33"/>
      <c r="C1" s="33"/>
      <c r="D1" s="33"/>
      <c r="E1" s="33"/>
      <c r="F1" s="32"/>
    </row>
    <row r="2" spans="1:6">
      <c r="A2" s="31" t="s">
        <v>0</v>
      </c>
      <c r="B2" s="31" t="s">
        <v>25</v>
      </c>
      <c r="C2" s="31" t="s">
        <v>87</v>
      </c>
      <c r="D2" s="31" t="s">
        <v>86</v>
      </c>
      <c r="E2" s="31" t="s">
        <v>85</v>
      </c>
      <c r="F2" s="31" t="s">
        <v>77</v>
      </c>
    </row>
    <row r="3" spans="1:6">
      <c r="A3" s="26" t="s">
        <v>84</v>
      </c>
      <c r="B3" s="26" t="s">
        <v>76</v>
      </c>
      <c r="C3" s="29"/>
      <c r="D3" s="30">
        <v>70</v>
      </c>
      <c r="E3" s="29"/>
      <c r="F3" s="27"/>
    </row>
    <row r="4" spans="1:6">
      <c r="A4" s="26" t="s">
        <v>83</v>
      </c>
      <c r="B4" s="26" t="s">
        <v>76</v>
      </c>
      <c r="C4" s="29"/>
      <c r="D4" s="30">
        <v>80</v>
      </c>
      <c r="E4" s="29"/>
      <c r="F4" s="27"/>
    </row>
    <row r="5" spans="1:6">
      <c r="A5" s="26" t="s">
        <v>82</v>
      </c>
      <c r="B5" s="26" t="s">
        <v>75</v>
      </c>
      <c r="C5" s="29"/>
      <c r="D5" s="30">
        <v>85</v>
      </c>
      <c r="E5" s="29"/>
      <c r="F5" s="27"/>
    </row>
    <row r="6" spans="1:6">
      <c r="A6" s="26" t="s">
        <v>81</v>
      </c>
      <c r="B6" s="26" t="s">
        <v>75</v>
      </c>
      <c r="C6" s="29"/>
      <c r="D6" s="30">
        <v>90</v>
      </c>
      <c r="E6" s="29"/>
      <c r="F6" s="27"/>
    </row>
    <row r="7" spans="1:6">
      <c r="A7" s="26" t="s">
        <v>80</v>
      </c>
      <c r="B7" s="26" t="s">
        <v>76</v>
      </c>
      <c r="C7" s="29"/>
      <c r="D7" s="30">
        <v>90</v>
      </c>
      <c r="E7" s="29"/>
      <c r="F7" s="27"/>
    </row>
    <row r="8" spans="1:6">
      <c r="A8" s="26" t="s">
        <v>3</v>
      </c>
      <c r="B8" s="26" t="s">
        <v>75</v>
      </c>
      <c r="C8" s="29"/>
      <c r="D8" s="30">
        <v>100</v>
      </c>
      <c r="E8" s="29"/>
      <c r="F8" s="27"/>
    </row>
    <row r="9" spans="1:6">
      <c r="A9" s="26" t="s">
        <v>79</v>
      </c>
      <c r="B9" s="26" t="s">
        <v>75</v>
      </c>
      <c r="C9" s="29"/>
      <c r="D9" s="30">
        <v>105</v>
      </c>
      <c r="E9" s="29"/>
      <c r="F9" s="27"/>
    </row>
    <row r="10" spans="1:6">
      <c r="A10" s="26" t="s">
        <v>4</v>
      </c>
      <c r="B10" s="26" t="s">
        <v>76</v>
      </c>
      <c r="C10" s="29"/>
      <c r="D10" s="30">
        <v>110</v>
      </c>
      <c r="E10" s="29"/>
      <c r="F10" s="27"/>
    </row>
    <row r="11" spans="1:6">
      <c r="A11" s="26" t="s">
        <v>78</v>
      </c>
      <c r="B11" s="26" t="s">
        <v>75</v>
      </c>
      <c r="C11" s="29"/>
      <c r="D11" s="30">
        <v>130</v>
      </c>
      <c r="E11" s="29"/>
      <c r="F11" s="27"/>
    </row>
    <row r="13" spans="1:6">
      <c r="D13" s="28" t="s">
        <v>77</v>
      </c>
      <c r="E13" s="28"/>
    </row>
    <row r="14" spans="1:6">
      <c r="A14" s="26" t="s">
        <v>76</v>
      </c>
      <c r="B14" s="27">
        <v>23</v>
      </c>
      <c r="D14" s="26">
        <v>2000</v>
      </c>
      <c r="E14" s="25">
        <v>0.1</v>
      </c>
    </row>
    <row r="15" spans="1:6">
      <c r="A15" s="26" t="s">
        <v>75</v>
      </c>
      <c r="B15" s="27">
        <v>25</v>
      </c>
      <c r="D15" s="26" t="s">
        <v>74</v>
      </c>
      <c r="E15" s="25">
        <v>0.2</v>
      </c>
    </row>
    <row r="17" spans="1:7">
      <c r="A17" s="24" t="s">
        <v>73</v>
      </c>
      <c r="B17" s="24"/>
      <c r="C17" s="24"/>
      <c r="D17" s="24"/>
      <c r="E17" s="24"/>
      <c r="F17" s="24"/>
    </row>
    <row r="18" spans="1:7">
      <c r="A18" s="23" t="s">
        <v>72</v>
      </c>
      <c r="B18" s="23"/>
      <c r="C18" s="23"/>
      <c r="D18" s="23"/>
      <c r="E18" s="23"/>
      <c r="F18" s="23"/>
    </row>
    <row r="19" spans="1:7">
      <c r="A19" s="22" t="s">
        <v>71</v>
      </c>
      <c r="B19" s="22"/>
      <c r="C19" s="22"/>
      <c r="D19" s="22"/>
      <c r="E19" s="22"/>
      <c r="F19" s="22"/>
      <c r="G19" s="22"/>
    </row>
  </sheetData>
  <mergeCells count="5">
    <mergeCell ref="A1:F1"/>
    <mergeCell ref="D13:E13"/>
    <mergeCell ref="A17:F17"/>
    <mergeCell ref="A18:F18"/>
    <mergeCell ref="A19:G19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13006-4FE9-4AF8-A88A-0F2B5C2DA4D0}">
  <dimension ref="A1:L36"/>
  <sheetViews>
    <sheetView zoomScale="115" zoomScaleNormal="115" workbookViewId="0">
      <selection activeCell="H5" sqref="H5"/>
    </sheetView>
  </sheetViews>
  <sheetFormatPr defaultColWidth="15.85546875" defaultRowHeight="15"/>
  <cols>
    <col min="1" max="1" width="18" bestFit="1" customWidth="1"/>
    <col min="2" max="2" width="27.140625" bestFit="1" customWidth="1"/>
    <col min="3" max="3" width="11.85546875" bestFit="1" customWidth="1"/>
    <col min="4" max="4" width="15.140625" bestFit="1" customWidth="1"/>
    <col min="5" max="5" width="15.28515625" customWidth="1"/>
    <col min="6" max="6" width="10.140625" bestFit="1" customWidth="1"/>
    <col min="7" max="7" width="11.7109375" bestFit="1" customWidth="1"/>
    <col min="8" max="8" width="16.42578125" bestFit="1" customWidth="1"/>
    <col min="9" max="9" width="5.42578125" customWidth="1"/>
    <col min="10" max="10" width="23.42578125" customWidth="1"/>
    <col min="11" max="11" width="10.85546875" customWidth="1"/>
  </cols>
  <sheetData>
    <row r="1" spans="1:12" ht="15.75">
      <c r="A1" s="159" t="s">
        <v>360</v>
      </c>
      <c r="B1" s="159"/>
      <c r="C1" s="159"/>
      <c r="D1" s="159"/>
      <c r="E1" s="159"/>
      <c r="F1" s="159"/>
      <c r="G1" s="159"/>
      <c r="H1" s="159"/>
      <c r="J1" s="158" t="s">
        <v>359</v>
      </c>
      <c r="K1" s="157"/>
    </row>
    <row r="2" spans="1:12">
      <c r="A2" s="26"/>
      <c r="B2" s="26" t="s">
        <v>358</v>
      </c>
      <c r="C2" s="25">
        <v>0.06</v>
      </c>
      <c r="D2" s="26" t="s">
        <v>77</v>
      </c>
      <c r="E2" s="25">
        <v>0.11</v>
      </c>
      <c r="F2" s="26"/>
      <c r="G2" s="36" t="s">
        <v>357</v>
      </c>
      <c r="H2" s="156"/>
      <c r="J2" s="40" t="s">
        <v>353</v>
      </c>
      <c r="K2" s="40" t="s">
        <v>356</v>
      </c>
    </row>
    <row r="3" spans="1:12">
      <c r="A3" s="155" t="s">
        <v>355</v>
      </c>
      <c r="B3" s="155"/>
      <c r="C3" s="155"/>
      <c r="D3" s="155"/>
      <c r="E3" s="155"/>
      <c r="F3" s="155"/>
      <c r="G3" s="155"/>
      <c r="H3" s="155"/>
      <c r="J3" s="153">
        <v>10000</v>
      </c>
      <c r="K3" s="154">
        <v>0</v>
      </c>
    </row>
    <row r="4" spans="1:12">
      <c r="A4" s="26"/>
      <c r="B4" s="26"/>
      <c r="C4" s="26"/>
      <c r="D4" s="26"/>
      <c r="E4" s="26"/>
      <c r="F4" s="26"/>
      <c r="G4" s="26"/>
      <c r="H4" s="26"/>
      <c r="J4" s="153">
        <v>99999999.989999995</v>
      </c>
      <c r="K4" s="152">
        <v>0.27500000000000002</v>
      </c>
    </row>
    <row r="5" spans="1:12">
      <c r="A5" s="41" t="s">
        <v>354</v>
      </c>
      <c r="B5" s="41" t="s">
        <v>25</v>
      </c>
      <c r="C5" s="41" t="s">
        <v>353</v>
      </c>
      <c r="D5" s="41" t="s">
        <v>352</v>
      </c>
      <c r="E5" s="41" t="s">
        <v>351</v>
      </c>
      <c r="F5" s="41" t="s">
        <v>77</v>
      </c>
      <c r="G5" s="41" t="s">
        <v>146</v>
      </c>
      <c r="H5" s="41" t="s">
        <v>350</v>
      </c>
    </row>
    <row r="6" spans="1:12">
      <c r="A6" s="26" t="s">
        <v>349</v>
      </c>
      <c r="B6" s="26" t="s">
        <v>348</v>
      </c>
      <c r="C6" s="148">
        <v>26000</v>
      </c>
      <c r="D6" s="147"/>
      <c r="E6" s="147"/>
      <c r="F6" s="147"/>
      <c r="G6" s="147"/>
      <c r="H6" s="147"/>
      <c r="J6" s="4" t="s">
        <v>347</v>
      </c>
    </row>
    <row r="7" spans="1:12">
      <c r="A7" s="26" t="s">
        <v>346</v>
      </c>
      <c r="B7" s="26" t="s">
        <v>345</v>
      </c>
      <c r="C7" s="148">
        <v>25000</v>
      </c>
      <c r="D7" s="147"/>
      <c r="E7" s="147"/>
      <c r="F7" s="147"/>
      <c r="G7" s="147"/>
      <c r="H7" s="147"/>
      <c r="J7" s="106" t="s">
        <v>344</v>
      </c>
      <c r="K7" t="s">
        <v>343</v>
      </c>
    </row>
    <row r="8" spans="1:12">
      <c r="A8" s="26" t="s">
        <v>342</v>
      </c>
      <c r="B8" s="26" t="s">
        <v>341</v>
      </c>
      <c r="C8" s="148">
        <v>22000</v>
      </c>
      <c r="D8" s="147"/>
      <c r="E8" s="147"/>
      <c r="F8" s="147"/>
      <c r="G8" s="147"/>
      <c r="H8" s="147"/>
      <c r="J8" s="106" t="s">
        <v>340</v>
      </c>
      <c r="K8" t="s">
        <v>339</v>
      </c>
    </row>
    <row r="9" spans="1:12">
      <c r="A9" s="26" t="s">
        <v>338</v>
      </c>
      <c r="B9" s="26" t="s">
        <v>337</v>
      </c>
      <c r="C9" s="148">
        <v>19000</v>
      </c>
      <c r="D9" s="147"/>
      <c r="E9" s="147"/>
      <c r="F9" s="147"/>
      <c r="G9" s="147"/>
      <c r="H9" s="147"/>
      <c r="J9" s="106" t="s">
        <v>336</v>
      </c>
      <c r="K9" t="s">
        <v>335</v>
      </c>
    </row>
    <row r="10" spans="1:12">
      <c r="A10" s="26" t="s">
        <v>334</v>
      </c>
      <c r="B10" s="26" t="s">
        <v>333</v>
      </c>
      <c r="C10" s="148">
        <v>17000</v>
      </c>
      <c r="D10" s="147"/>
      <c r="E10" s="147"/>
      <c r="F10" s="147"/>
      <c r="G10" s="147"/>
      <c r="H10" s="147"/>
    </row>
    <row r="11" spans="1:12">
      <c r="A11" s="26" t="s">
        <v>332</v>
      </c>
      <c r="B11" s="26" t="s">
        <v>331</v>
      </c>
      <c r="C11" s="148">
        <v>17000</v>
      </c>
      <c r="D11" s="147"/>
      <c r="E11" s="147"/>
      <c r="F11" s="147"/>
      <c r="G11" s="147"/>
      <c r="H11" s="147"/>
      <c r="J11" s="151" t="s">
        <v>330</v>
      </c>
    </row>
    <row r="12" spans="1:12" ht="15" customHeight="1">
      <c r="A12" s="26" t="s">
        <v>329</v>
      </c>
      <c r="B12" s="26" t="s">
        <v>328</v>
      </c>
      <c r="C12" s="148">
        <v>13500</v>
      </c>
      <c r="D12" s="147"/>
      <c r="E12" s="147"/>
      <c r="F12" s="147"/>
      <c r="G12" s="147"/>
      <c r="H12" s="147"/>
      <c r="J12" s="150" t="s">
        <v>327</v>
      </c>
      <c r="K12" s="150"/>
      <c r="L12" s="149"/>
    </row>
    <row r="13" spans="1:12">
      <c r="A13" s="26" t="s">
        <v>326</v>
      </c>
      <c r="B13" s="26" t="s">
        <v>135</v>
      </c>
      <c r="C13" s="148">
        <v>10000</v>
      </c>
      <c r="D13" s="147"/>
      <c r="E13" s="147"/>
      <c r="F13" s="147"/>
      <c r="G13" s="147"/>
      <c r="H13" s="147"/>
      <c r="J13" s="150"/>
      <c r="K13" s="150"/>
      <c r="L13" s="149"/>
    </row>
    <row r="14" spans="1:12">
      <c r="A14" s="26" t="s">
        <v>325</v>
      </c>
      <c r="B14" s="26" t="s">
        <v>324</v>
      </c>
      <c r="C14" s="148">
        <v>8000</v>
      </c>
      <c r="D14" s="147"/>
      <c r="E14" s="147"/>
      <c r="F14" s="147"/>
      <c r="G14" s="147"/>
      <c r="H14" s="147"/>
      <c r="J14" s="150"/>
      <c r="K14" s="150"/>
      <c r="L14" s="149"/>
    </row>
    <row r="15" spans="1:12">
      <c r="A15" s="26" t="s">
        <v>323</v>
      </c>
      <c r="B15" s="26" t="s">
        <v>322</v>
      </c>
      <c r="C15" s="148">
        <v>7000</v>
      </c>
      <c r="D15" s="147"/>
      <c r="E15" s="147"/>
      <c r="F15" s="147"/>
      <c r="G15" s="147"/>
      <c r="H15" s="147"/>
    </row>
    <row r="16" spans="1:12">
      <c r="A16" s="26" t="s">
        <v>321</v>
      </c>
      <c r="B16" s="26" t="s">
        <v>320</v>
      </c>
      <c r="C16" s="148">
        <v>6000</v>
      </c>
      <c r="D16" s="147"/>
      <c r="E16" s="147"/>
      <c r="F16" s="147"/>
      <c r="G16" s="147"/>
      <c r="H16" s="147"/>
    </row>
    <row r="17" spans="3:8">
      <c r="C17" s="107"/>
      <c r="D17" s="107"/>
      <c r="E17" s="107"/>
      <c r="F17" s="107"/>
      <c r="G17" s="107"/>
      <c r="H17" s="107"/>
    </row>
    <row r="18" spans="3:8">
      <c r="C18" s="107"/>
      <c r="D18" s="107"/>
      <c r="E18" s="107"/>
      <c r="F18" s="107"/>
      <c r="G18" s="107"/>
      <c r="H18" s="107"/>
    </row>
    <row r="30" spans="3:8">
      <c r="C30" s="146"/>
      <c r="D30" s="146"/>
    </row>
    <row r="31" spans="3:8">
      <c r="C31" s="145"/>
      <c r="D31" s="144"/>
    </row>
    <row r="32" spans="3:8">
      <c r="C32" s="145"/>
      <c r="D32" s="144"/>
    </row>
    <row r="33" spans="3:4">
      <c r="C33" s="145"/>
      <c r="D33" s="144"/>
    </row>
    <row r="34" spans="3:4">
      <c r="C34" s="145"/>
      <c r="D34" s="144"/>
    </row>
    <row r="35" spans="3:4">
      <c r="D35" s="143"/>
    </row>
    <row r="36" spans="3:4">
      <c r="D36" s="143"/>
    </row>
  </sheetData>
  <mergeCells count="4">
    <mergeCell ref="A1:H1"/>
    <mergeCell ref="A3:H3"/>
    <mergeCell ref="J1:K1"/>
    <mergeCell ref="J12:K14"/>
  </mergeCells>
  <pageMargins left="0.51181102362204722" right="0.51181102362204722" top="0.78740157480314965" bottom="0.78740157480314965" header="0.31496062992125984" footer="0.31496062992125984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41C84-A786-4148-8B73-57B28064BA51}">
  <sheetPr>
    <tabColor theme="6" tint="-0.249977111117893"/>
  </sheetPr>
  <dimension ref="A1:D13"/>
  <sheetViews>
    <sheetView topLeftCell="A4" zoomScale="175" zoomScaleNormal="175" workbookViewId="0">
      <selection activeCell="D4" sqref="D4"/>
    </sheetView>
  </sheetViews>
  <sheetFormatPr defaultRowHeight="15"/>
  <cols>
    <col min="1" max="1" width="15.85546875" bestFit="1" customWidth="1"/>
    <col min="2" max="2" width="12.28515625" bestFit="1" customWidth="1"/>
    <col min="4" max="4" width="9.5703125" bestFit="1" customWidth="1"/>
  </cols>
  <sheetData>
    <row r="1" spans="1:4">
      <c r="A1" s="58" t="s">
        <v>119</v>
      </c>
      <c r="B1" s="58"/>
      <c r="C1" s="58"/>
      <c r="D1" s="58"/>
    </row>
    <row r="2" spans="1:4">
      <c r="A2" s="48"/>
      <c r="B2" s="47"/>
      <c r="C2" s="47"/>
      <c r="D2" s="46"/>
    </row>
    <row r="3" spans="1:4">
      <c r="A3" s="57" t="s">
        <v>118</v>
      </c>
      <c r="B3" s="57"/>
      <c r="C3" s="57"/>
      <c r="D3" s="57"/>
    </row>
    <row r="4" spans="1:4">
      <c r="A4" s="26"/>
      <c r="B4" s="26"/>
      <c r="C4" s="26" t="s">
        <v>37</v>
      </c>
      <c r="D4" s="37">
        <v>50</v>
      </c>
    </row>
    <row r="5" spans="1:4">
      <c r="A5" s="48"/>
      <c r="B5" s="47"/>
      <c r="C5" s="47"/>
      <c r="D5" s="46"/>
    </row>
    <row r="6" spans="1:4">
      <c r="A6" s="40" t="s">
        <v>117</v>
      </c>
      <c r="B6" s="40" t="s">
        <v>116</v>
      </c>
      <c r="C6" s="40" t="s">
        <v>16</v>
      </c>
      <c r="D6" s="26"/>
    </row>
    <row r="7" spans="1:4">
      <c r="A7" s="26" t="s">
        <v>115</v>
      </c>
      <c r="B7" s="37">
        <v>50</v>
      </c>
      <c r="C7" s="26"/>
      <c r="D7" s="26"/>
    </row>
    <row r="8" spans="1:4">
      <c r="A8" s="26" t="s">
        <v>114</v>
      </c>
      <c r="B8" s="37"/>
      <c r="C8" s="26"/>
      <c r="D8" s="26"/>
    </row>
    <row r="9" spans="1:4">
      <c r="A9" s="26" t="s">
        <v>113</v>
      </c>
      <c r="B9" s="37">
        <v>50</v>
      </c>
      <c r="C9" s="26"/>
      <c r="D9" s="26"/>
    </row>
    <row r="10" spans="1:4">
      <c r="A10" s="26" t="s">
        <v>112</v>
      </c>
      <c r="B10" s="37"/>
      <c r="C10" s="26"/>
      <c r="D10" s="26"/>
    </row>
    <row r="11" spans="1:4">
      <c r="A11" s="26" t="s">
        <v>111</v>
      </c>
      <c r="B11" s="37">
        <v>50</v>
      </c>
      <c r="C11" s="26"/>
      <c r="D11" s="26"/>
    </row>
    <row r="12" spans="1:4">
      <c r="A12" s="26" t="s">
        <v>110</v>
      </c>
      <c r="B12" s="37">
        <v>50</v>
      </c>
      <c r="C12" s="26"/>
      <c r="D12" s="26"/>
    </row>
    <row r="13" spans="1:4">
      <c r="A13" s="26" t="s">
        <v>109</v>
      </c>
      <c r="B13" s="37"/>
      <c r="C13" s="26"/>
      <c r="D13" s="26"/>
    </row>
  </sheetData>
  <mergeCells count="4">
    <mergeCell ref="A1:D1"/>
    <mergeCell ref="A3:D3"/>
    <mergeCell ref="A2:D2"/>
    <mergeCell ref="A5:D5"/>
  </mergeCells>
  <conditionalFormatting sqref="C7:C13">
    <cfRule type="cellIs" dxfId="0" priority="1" operator="equal">
      <formula>"Pago"</formula>
    </cfRule>
  </conditionalFormatting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FEA56-459A-4007-8664-0468168F8B6A}">
  <dimension ref="A2:N31"/>
  <sheetViews>
    <sheetView topLeftCell="A7" zoomScaleNormal="100" workbookViewId="0">
      <selection activeCell="J27" sqref="J27"/>
    </sheetView>
  </sheetViews>
  <sheetFormatPr defaultColWidth="9.140625" defaultRowHeight="14.25"/>
  <cols>
    <col min="1" max="6" width="14.85546875" style="99" customWidth="1"/>
    <col min="7" max="7" width="6.5703125" style="99" customWidth="1"/>
    <col min="8" max="8" width="11.42578125" style="99" bestFit="1" customWidth="1"/>
    <col min="9" max="9" width="16" style="99" customWidth="1"/>
    <col min="10" max="10" width="13.85546875" style="99" bestFit="1" customWidth="1"/>
    <col min="11" max="11" width="16.7109375" style="99" bestFit="1" customWidth="1"/>
    <col min="12" max="16384" width="9.140625" style="99"/>
  </cols>
  <sheetData>
    <row r="2" spans="1:14">
      <c r="A2" s="103" t="s">
        <v>139</v>
      </c>
      <c r="B2" s="103" t="s">
        <v>5</v>
      </c>
      <c r="C2" s="103" t="s">
        <v>154</v>
      </c>
      <c r="D2" s="103" t="s">
        <v>279</v>
      </c>
      <c r="E2" s="103" t="s">
        <v>37</v>
      </c>
      <c r="F2" s="103" t="s">
        <v>8</v>
      </c>
      <c r="H2" s="103" t="s">
        <v>139</v>
      </c>
      <c r="I2" s="103" t="s">
        <v>275</v>
      </c>
      <c r="J2" s="103" t="s">
        <v>274</v>
      </c>
      <c r="K2" s="103" t="s">
        <v>265</v>
      </c>
      <c r="N2" s="99" t="s">
        <v>278</v>
      </c>
    </row>
    <row r="3" spans="1:14">
      <c r="A3" s="102" t="s">
        <v>262</v>
      </c>
      <c r="B3" s="102" t="s">
        <v>267</v>
      </c>
      <c r="C3" s="101" t="s">
        <v>174</v>
      </c>
      <c r="D3" s="101">
        <v>6</v>
      </c>
      <c r="E3" s="100">
        <v>14</v>
      </c>
      <c r="F3" s="100">
        <f>D3*E3</f>
        <v>84</v>
      </c>
      <c r="H3" s="102" t="s">
        <v>262</v>
      </c>
      <c r="I3" s="101"/>
      <c r="J3" s="104"/>
      <c r="K3" s="101"/>
      <c r="N3" s="99" t="s">
        <v>277</v>
      </c>
    </row>
    <row r="4" spans="1:14">
      <c r="A4" s="102" t="s">
        <v>259</v>
      </c>
      <c r="B4" s="102" t="s">
        <v>272</v>
      </c>
      <c r="C4" s="101" t="s">
        <v>170</v>
      </c>
      <c r="D4" s="101">
        <v>14</v>
      </c>
      <c r="E4" s="100">
        <v>14</v>
      </c>
      <c r="F4" s="100">
        <f>D4*E4</f>
        <v>196</v>
      </c>
      <c r="H4" s="102" t="s">
        <v>259</v>
      </c>
      <c r="I4" s="101"/>
      <c r="J4" s="104"/>
      <c r="K4" s="101"/>
    </row>
    <row r="5" spans="1:14">
      <c r="A5" s="102" t="s">
        <v>262</v>
      </c>
      <c r="B5" s="102" t="s">
        <v>267</v>
      </c>
      <c r="C5" s="101" t="s">
        <v>269</v>
      </c>
      <c r="D5" s="101">
        <v>9</v>
      </c>
      <c r="E5" s="100">
        <v>18</v>
      </c>
      <c r="F5" s="100">
        <f>D5*E5</f>
        <v>162</v>
      </c>
      <c r="H5" s="102" t="s">
        <v>195</v>
      </c>
      <c r="I5" s="101"/>
      <c r="J5" s="104"/>
      <c r="K5" s="101"/>
    </row>
    <row r="6" spans="1:14">
      <c r="A6" s="102" t="s">
        <v>262</v>
      </c>
      <c r="B6" s="102" t="s">
        <v>267</v>
      </c>
      <c r="C6" s="101" t="s">
        <v>269</v>
      </c>
      <c r="D6" s="101">
        <v>15</v>
      </c>
      <c r="E6" s="100">
        <v>18</v>
      </c>
      <c r="F6" s="100">
        <f>D6*E6</f>
        <v>270</v>
      </c>
      <c r="H6" s="102" t="s">
        <v>261</v>
      </c>
      <c r="I6" s="101"/>
      <c r="J6" s="104"/>
      <c r="K6" s="101"/>
    </row>
    <row r="7" spans="1:14">
      <c r="A7" s="102" t="s">
        <v>195</v>
      </c>
      <c r="B7" s="102" t="s">
        <v>272</v>
      </c>
      <c r="C7" s="101" t="s">
        <v>165</v>
      </c>
      <c r="D7" s="101">
        <v>18</v>
      </c>
      <c r="E7" s="100">
        <v>18</v>
      </c>
      <c r="F7" s="100">
        <f>D7*E7</f>
        <v>324</v>
      </c>
    </row>
    <row r="8" spans="1:14">
      <c r="A8" s="102" t="s">
        <v>261</v>
      </c>
      <c r="B8" s="102" t="s">
        <v>273</v>
      </c>
      <c r="C8" s="101" t="s">
        <v>174</v>
      </c>
      <c r="D8" s="101">
        <v>42</v>
      </c>
      <c r="E8" s="100">
        <v>15</v>
      </c>
      <c r="F8" s="100">
        <f>D8*E8</f>
        <v>630</v>
      </c>
      <c r="H8" s="103" t="s">
        <v>5</v>
      </c>
      <c r="I8" s="103" t="s">
        <v>275</v>
      </c>
      <c r="J8" s="103" t="s">
        <v>274</v>
      </c>
      <c r="K8" s="103" t="s">
        <v>265</v>
      </c>
    </row>
    <row r="9" spans="1:14">
      <c r="A9" s="102" t="s">
        <v>261</v>
      </c>
      <c r="B9" s="102" t="s">
        <v>264</v>
      </c>
      <c r="C9" s="101" t="s">
        <v>269</v>
      </c>
      <c r="D9" s="101">
        <v>18</v>
      </c>
      <c r="E9" s="100">
        <v>13</v>
      </c>
      <c r="F9" s="100">
        <f>D9*E9</f>
        <v>234</v>
      </c>
      <c r="H9" s="102" t="s">
        <v>267</v>
      </c>
      <c r="I9" s="101"/>
      <c r="J9" s="104"/>
      <c r="K9" s="101"/>
    </row>
    <row r="10" spans="1:14">
      <c r="A10" s="102" t="s">
        <v>261</v>
      </c>
      <c r="B10" s="102" t="s">
        <v>258</v>
      </c>
      <c r="C10" s="101" t="s">
        <v>170</v>
      </c>
      <c r="D10" s="101">
        <v>13</v>
      </c>
      <c r="E10" s="100">
        <v>16</v>
      </c>
      <c r="F10" s="100">
        <f>D10*E10</f>
        <v>208</v>
      </c>
      <c r="H10" s="102" t="s">
        <v>272</v>
      </c>
      <c r="I10" s="101"/>
      <c r="J10" s="104"/>
      <c r="K10" s="101"/>
    </row>
    <row r="11" spans="1:14">
      <c r="A11" s="102" t="s">
        <v>259</v>
      </c>
      <c r="B11" s="102" t="s">
        <v>272</v>
      </c>
      <c r="C11" s="101" t="s">
        <v>170</v>
      </c>
      <c r="D11" s="101">
        <v>8</v>
      </c>
      <c r="E11" s="100">
        <v>12</v>
      </c>
      <c r="F11" s="100">
        <f>D11*E11</f>
        <v>96</v>
      </c>
      <c r="H11" s="102" t="s">
        <v>273</v>
      </c>
      <c r="I11" s="101"/>
      <c r="J11" s="104"/>
      <c r="K11" s="101"/>
    </row>
    <row r="12" spans="1:14">
      <c r="A12" s="102" t="s">
        <v>195</v>
      </c>
      <c r="B12" s="102" t="s">
        <v>264</v>
      </c>
      <c r="C12" s="101" t="s">
        <v>165</v>
      </c>
      <c r="D12" s="101">
        <v>16</v>
      </c>
      <c r="E12" s="100">
        <v>16</v>
      </c>
      <c r="F12" s="100">
        <f>D12*E12</f>
        <v>256</v>
      </c>
      <c r="H12" s="102" t="s">
        <v>264</v>
      </c>
      <c r="I12" s="101"/>
      <c r="J12" s="104"/>
      <c r="K12" s="101"/>
    </row>
    <row r="13" spans="1:14">
      <c r="A13" s="102" t="s">
        <v>261</v>
      </c>
      <c r="B13" s="102" t="s">
        <v>258</v>
      </c>
      <c r="C13" s="101" t="s">
        <v>174</v>
      </c>
      <c r="D13" s="101">
        <v>13</v>
      </c>
      <c r="E13" s="100">
        <v>11</v>
      </c>
      <c r="F13" s="100">
        <f>D13*E13</f>
        <v>143</v>
      </c>
      <c r="H13" s="102" t="s">
        <v>258</v>
      </c>
      <c r="I13" s="101"/>
      <c r="J13" s="104"/>
      <c r="K13" s="101"/>
    </row>
    <row r="14" spans="1:14">
      <c r="A14" s="102" t="s">
        <v>259</v>
      </c>
      <c r="B14" s="102" t="s">
        <v>272</v>
      </c>
      <c r="C14" s="101" t="s">
        <v>276</v>
      </c>
      <c r="D14" s="101">
        <v>16</v>
      </c>
      <c r="E14" s="100">
        <v>14</v>
      </c>
      <c r="F14" s="100">
        <f>D14*E14</f>
        <v>224</v>
      </c>
      <c r="H14" s="102" t="s">
        <v>260</v>
      </c>
      <c r="I14" s="101"/>
      <c r="J14" s="104"/>
      <c r="K14" s="101"/>
    </row>
    <row r="15" spans="1:14">
      <c r="A15" s="102" t="s">
        <v>261</v>
      </c>
      <c r="B15" s="102" t="s">
        <v>272</v>
      </c>
      <c r="C15" s="101" t="s">
        <v>170</v>
      </c>
      <c r="D15" s="101">
        <v>8</v>
      </c>
      <c r="E15" s="100">
        <v>9</v>
      </c>
      <c r="F15" s="100">
        <f>D15*E15</f>
        <v>72</v>
      </c>
    </row>
    <row r="16" spans="1:14">
      <c r="A16" s="102" t="s">
        <v>259</v>
      </c>
      <c r="B16" s="102" t="s">
        <v>272</v>
      </c>
      <c r="C16" s="101" t="s">
        <v>174</v>
      </c>
      <c r="D16" s="101">
        <v>90</v>
      </c>
      <c r="E16" s="100">
        <v>12</v>
      </c>
      <c r="F16" s="100">
        <f>D16*E16</f>
        <v>1080</v>
      </c>
      <c r="H16" s="103" t="s">
        <v>154</v>
      </c>
      <c r="I16" s="103" t="s">
        <v>275</v>
      </c>
      <c r="J16" s="103" t="s">
        <v>274</v>
      </c>
      <c r="K16" s="103" t="s">
        <v>265</v>
      </c>
    </row>
    <row r="17" spans="1:11">
      <c r="A17" s="102" t="s">
        <v>259</v>
      </c>
      <c r="B17" s="102" t="s">
        <v>273</v>
      </c>
      <c r="C17" s="101" t="s">
        <v>170</v>
      </c>
      <c r="D17" s="101">
        <v>20</v>
      </c>
      <c r="E17" s="100">
        <v>14</v>
      </c>
      <c r="F17" s="100">
        <f>D17*E17</f>
        <v>280</v>
      </c>
      <c r="H17" s="101" t="s">
        <v>174</v>
      </c>
      <c r="I17" s="101"/>
      <c r="J17" s="100"/>
      <c r="K17" s="101"/>
    </row>
    <row r="18" spans="1:11">
      <c r="A18" s="102" t="s">
        <v>259</v>
      </c>
      <c r="B18" s="102" t="s">
        <v>272</v>
      </c>
      <c r="C18" s="101" t="s">
        <v>174</v>
      </c>
      <c r="D18" s="101">
        <v>18</v>
      </c>
      <c r="E18" s="100">
        <v>15</v>
      </c>
      <c r="F18" s="100">
        <f>D18*E18</f>
        <v>270</v>
      </c>
      <c r="H18" s="101" t="s">
        <v>170</v>
      </c>
      <c r="I18" s="101"/>
      <c r="J18" s="100"/>
      <c r="K18" s="101"/>
    </row>
    <row r="19" spans="1:11">
      <c r="A19" s="102" t="s">
        <v>195</v>
      </c>
      <c r="B19" s="102" t="s">
        <v>267</v>
      </c>
      <c r="C19" s="101" t="s">
        <v>269</v>
      </c>
      <c r="D19" s="101">
        <v>6</v>
      </c>
      <c r="E19" s="100">
        <v>16</v>
      </c>
      <c r="F19" s="100">
        <f>D19*E19</f>
        <v>96</v>
      </c>
      <c r="H19" s="101" t="s">
        <v>269</v>
      </c>
      <c r="I19" s="101"/>
      <c r="J19" s="100"/>
      <c r="K19" s="101"/>
    </row>
    <row r="20" spans="1:11">
      <c r="A20" s="102" t="s">
        <v>262</v>
      </c>
      <c r="B20" s="102" t="s">
        <v>272</v>
      </c>
      <c r="C20" s="101" t="s">
        <v>269</v>
      </c>
      <c r="D20" s="101">
        <v>60</v>
      </c>
      <c r="E20" s="100">
        <v>12</v>
      </c>
      <c r="F20" s="100">
        <f>D20*E20</f>
        <v>720</v>
      </c>
      <c r="H20" s="101" t="s">
        <v>165</v>
      </c>
      <c r="I20" s="101"/>
      <c r="J20" s="100"/>
      <c r="K20" s="101"/>
    </row>
    <row r="21" spans="1:11">
      <c r="A21" s="102" t="s">
        <v>259</v>
      </c>
      <c r="B21" s="102" t="s">
        <v>267</v>
      </c>
      <c r="C21" s="101" t="s">
        <v>174</v>
      </c>
      <c r="D21" s="101">
        <v>3</v>
      </c>
      <c r="E21" s="100">
        <v>14</v>
      </c>
      <c r="F21" s="100">
        <f>D21*E21</f>
        <v>42</v>
      </c>
      <c r="H21" s="101" t="s">
        <v>271</v>
      </c>
      <c r="I21" s="101"/>
      <c r="J21" s="100"/>
      <c r="K21" s="101"/>
    </row>
    <row r="22" spans="1:11">
      <c r="A22" s="102" t="s">
        <v>262</v>
      </c>
      <c r="B22" s="102" t="s">
        <v>264</v>
      </c>
      <c r="C22" s="101" t="s">
        <v>269</v>
      </c>
      <c r="D22" s="101">
        <v>8</v>
      </c>
      <c r="E22" s="100">
        <v>26</v>
      </c>
      <c r="F22" s="100">
        <f>D22*E22</f>
        <v>208</v>
      </c>
      <c r="H22" s="101" t="s">
        <v>270</v>
      </c>
      <c r="I22" s="101"/>
      <c r="J22" s="100"/>
      <c r="K22" s="101"/>
    </row>
    <row r="23" spans="1:11">
      <c r="A23" s="102" t="s">
        <v>195</v>
      </c>
      <c r="B23" s="102" t="s">
        <v>264</v>
      </c>
      <c r="C23" s="101" t="s">
        <v>174</v>
      </c>
      <c r="D23" s="101">
        <v>9</v>
      </c>
      <c r="E23" s="100">
        <v>12</v>
      </c>
      <c r="F23" s="100">
        <f>D23*E23</f>
        <v>108</v>
      </c>
    </row>
    <row r="24" spans="1:11">
      <c r="A24" s="102" t="s">
        <v>259</v>
      </c>
      <c r="B24" s="102" t="s">
        <v>260</v>
      </c>
      <c r="C24" s="101" t="s">
        <v>269</v>
      </c>
      <c r="D24" s="101">
        <v>4</v>
      </c>
      <c r="E24" s="100">
        <v>19</v>
      </c>
      <c r="F24" s="100">
        <f>D24*E24</f>
        <v>76</v>
      </c>
      <c r="H24" s="99" t="s">
        <v>268</v>
      </c>
    </row>
    <row r="25" spans="1:11">
      <c r="A25" s="102" t="s">
        <v>195</v>
      </c>
      <c r="B25" s="102" t="s">
        <v>267</v>
      </c>
      <c r="C25" s="101" t="s">
        <v>170</v>
      </c>
      <c r="D25" s="101">
        <v>19</v>
      </c>
      <c r="E25" s="100">
        <v>11</v>
      </c>
      <c r="F25" s="100">
        <f>D25*E25</f>
        <v>209</v>
      </c>
      <c r="H25" s="103" t="s">
        <v>266</v>
      </c>
      <c r="I25" s="103" t="s">
        <v>265</v>
      </c>
    </row>
    <row r="26" spans="1:11">
      <c r="A26" s="102" t="s">
        <v>261</v>
      </c>
      <c r="B26" s="102" t="s">
        <v>264</v>
      </c>
      <c r="C26" s="101" t="s">
        <v>165</v>
      </c>
      <c r="D26" s="101">
        <v>20</v>
      </c>
      <c r="E26" s="100">
        <v>11</v>
      </c>
      <c r="F26" s="100">
        <f>D26*E26</f>
        <v>220</v>
      </c>
      <c r="H26" s="102" t="s">
        <v>263</v>
      </c>
      <c r="I26" s="102"/>
    </row>
    <row r="27" spans="1:11">
      <c r="A27" s="102" t="s">
        <v>195</v>
      </c>
      <c r="B27" s="102" t="s">
        <v>260</v>
      </c>
      <c r="C27" s="101" t="s">
        <v>174</v>
      </c>
      <c r="D27" s="101">
        <v>45</v>
      </c>
      <c r="E27" s="100">
        <v>17</v>
      </c>
      <c r="F27" s="100">
        <f>D27*E27</f>
        <v>765</v>
      </c>
    </row>
    <row r="28" spans="1:11">
      <c r="A28" s="102" t="s">
        <v>195</v>
      </c>
      <c r="B28" s="102" t="s">
        <v>260</v>
      </c>
      <c r="C28" s="101" t="s">
        <v>174</v>
      </c>
      <c r="D28" s="101">
        <v>15</v>
      </c>
      <c r="E28" s="100">
        <v>15</v>
      </c>
      <c r="F28" s="100">
        <f>D28*E28</f>
        <v>225</v>
      </c>
    </row>
    <row r="29" spans="1:11">
      <c r="A29" s="102" t="s">
        <v>262</v>
      </c>
      <c r="B29" s="102" t="s">
        <v>258</v>
      </c>
      <c r="C29" s="101" t="s">
        <v>174</v>
      </c>
      <c r="D29" s="101">
        <v>12</v>
      </c>
      <c r="E29" s="100">
        <v>15</v>
      </c>
      <c r="F29" s="100">
        <f>D29*E29</f>
        <v>180</v>
      </c>
    </row>
    <row r="30" spans="1:11">
      <c r="A30" s="102" t="s">
        <v>261</v>
      </c>
      <c r="B30" s="102" t="s">
        <v>260</v>
      </c>
      <c r="C30" s="101" t="s">
        <v>165</v>
      </c>
      <c r="D30" s="101">
        <v>5</v>
      </c>
      <c r="E30" s="100">
        <v>13</v>
      </c>
      <c r="F30" s="100">
        <f>D30*E30</f>
        <v>65</v>
      </c>
    </row>
    <row r="31" spans="1:11">
      <c r="A31" s="102" t="s">
        <v>259</v>
      </c>
      <c r="B31" s="102" t="s">
        <v>258</v>
      </c>
      <c r="C31" s="101" t="s">
        <v>165</v>
      </c>
      <c r="D31" s="101">
        <v>11</v>
      </c>
      <c r="E31" s="100">
        <v>15</v>
      </c>
      <c r="F31" s="100">
        <f>D31*E31</f>
        <v>165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EA593-734D-46B4-9B6D-104DE36944F2}">
  <dimension ref="A1:N30"/>
  <sheetViews>
    <sheetView topLeftCell="E1" zoomScale="145" zoomScaleNormal="145" workbookViewId="0">
      <selection activeCell="J20" sqref="J20"/>
    </sheetView>
  </sheetViews>
  <sheetFormatPr defaultRowHeight="15"/>
  <cols>
    <col min="1" max="6" width="14.85546875" style="99" customWidth="1"/>
    <col min="8" max="9" width="13.5703125" customWidth="1"/>
    <col min="10" max="10" width="14" bestFit="1" customWidth="1"/>
    <col min="12" max="12" width="10.140625" customWidth="1"/>
  </cols>
  <sheetData>
    <row r="1" spans="1:14">
      <c r="A1" s="103" t="s">
        <v>139</v>
      </c>
      <c r="B1" s="103" t="s">
        <v>5</v>
      </c>
      <c r="C1" s="103" t="s">
        <v>154</v>
      </c>
      <c r="D1" s="103" t="s">
        <v>279</v>
      </c>
      <c r="E1" s="103" t="s">
        <v>37</v>
      </c>
      <c r="F1" s="103" t="s">
        <v>8</v>
      </c>
      <c r="H1" s="103" t="s">
        <v>139</v>
      </c>
      <c r="I1" s="105" t="s">
        <v>5</v>
      </c>
      <c r="J1" s="105" t="s">
        <v>266</v>
      </c>
    </row>
    <row r="2" spans="1:14">
      <c r="A2" s="102" t="s">
        <v>259</v>
      </c>
      <c r="B2" s="102" t="s">
        <v>267</v>
      </c>
      <c r="C2" s="101" t="s">
        <v>174</v>
      </c>
      <c r="D2" s="101">
        <v>3</v>
      </c>
      <c r="E2" s="100">
        <v>14</v>
      </c>
      <c r="F2" s="100">
        <f>D2*E2</f>
        <v>42</v>
      </c>
      <c r="H2" s="102" t="s">
        <v>262</v>
      </c>
      <c r="I2" s="102" t="s">
        <v>267</v>
      </c>
      <c r="J2" s="101"/>
      <c r="L2" t="s">
        <v>298</v>
      </c>
    </row>
    <row r="3" spans="1:14">
      <c r="A3" s="102" t="s">
        <v>259</v>
      </c>
      <c r="B3" s="102" t="s">
        <v>273</v>
      </c>
      <c r="C3" s="101" t="s">
        <v>170</v>
      </c>
      <c r="D3" s="101">
        <v>20</v>
      </c>
      <c r="E3" s="100">
        <v>14</v>
      </c>
      <c r="F3" s="100">
        <f>D3*E3</f>
        <v>280</v>
      </c>
      <c r="H3" s="109" t="s">
        <v>174</v>
      </c>
      <c r="I3" s="108"/>
      <c r="J3" s="30"/>
      <c r="L3" t="s">
        <v>297</v>
      </c>
    </row>
    <row r="4" spans="1:14">
      <c r="A4" s="102" t="s">
        <v>259</v>
      </c>
      <c r="B4" s="102" t="s">
        <v>260</v>
      </c>
      <c r="C4" s="101" t="s">
        <v>269</v>
      </c>
      <c r="D4" s="101">
        <v>4</v>
      </c>
      <c r="E4" s="100">
        <v>19</v>
      </c>
      <c r="F4" s="100">
        <f>D4*E4</f>
        <v>76</v>
      </c>
    </row>
    <row r="5" spans="1:14">
      <c r="A5" s="102" t="s">
        <v>259</v>
      </c>
      <c r="B5" s="102" t="s">
        <v>258</v>
      </c>
      <c r="C5" s="101" t="s">
        <v>165</v>
      </c>
      <c r="D5" s="101">
        <v>5</v>
      </c>
      <c r="E5" s="100">
        <v>15</v>
      </c>
      <c r="F5" s="100">
        <f>D5*E5</f>
        <v>75</v>
      </c>
      <c r="H5" s="103" t="s">
        <v>154</v>
      </c>
      <c r="I5" s="103" t="s">
        <v>5</v>
      </c>
      <c r="J5" s="103" t="s">
        <v>8</v>
      </c>
      <c r="L5" s="106" t="s">
        <v>296</v>
      </c>
      <c r="N5" t="s">
        <v>295</v>
      </c>
    </row>
    <row r="6" spans="1:14">
      <c r="A6" s="102" t="s">
        <v>259</v>
      </c>
      <c r="B6" s="102" t="s">
        <v>272</v>
      </c>
      <c r="C6" s="101" t="s">
        <v>170</v>
      </c>
      <c r="D6" s="101">
        <v>14</v>
      </c>
      <c r="E6" s="100">
        <v>14</v>
      </c>
      <c r="F6" s="100">
        <f>D6*E6</f>
        <v>196</v>
      </c>
      <c r="H6" s="102" t="s">
        <v>174</v>
      </c>
      <c r="I6" s="102" t="s">
        <v>280</v>
      </c>
      <c r="J6" s="100"/>
      <c r="L6" s="106" t="s">
        <v>294</v>
      </c>
      <c r="N6" t="s">
        <v>293</v>
      </c>
    </row>
    <row r="7" spans="1:14">
      <c r="A7" s="102" t="s">
        <v>259</v>
      </c>
      <c r="B7" s="102" t="s">
        <v>272</v>
      </c>
      <c r="C7" s="101" t="s">
        <v>170</v>
      </c>
      <c r="D7" s="101">
        <v>8</v>
      </c>
      <c r="E7" s="100">
        <v>12</v>
      </c>
      <c r="F7" s="100">
        <f>D7*E7</f>
        <v>96</v>
      </c>
      <c r="J7" s="107"/>
      <c r="L7" s="106" t="s">
        <v>292</v>
      </c>
      <c r="N7" t="s">
        <v>291</v>
      </c>
    </row>
    <row r="8" spans="1:14">
      <c r="A8" s="102" t="s">
        <v>259</v>
      </c>
      <c r="B8" s="102" t="s">
        <v>272</v>
      </c>
      <c r="C8" s="101" t="s">
        <v>170</v>
      </c>
      <c r="D8" s="101">
        <v>16</v>
      </c>
      <c r="E8" s="100">
        <v>14</v>
      </c>
      <c r="F8" s="100">
        <f>D8*E8</f>
        <v>224</v>
      </c>
      <c r="H8" s="103" t="s">
        <v>139</v>
      </c>
      <c r="I8" s="105" t="s">
        <v>154</v>
      </c>
      <c r="J8" s="105" t="s">
        <v>8</v>
      </c>
    </row>
    <row r="9" spans="1:14">
      <c r="A9" s="102" t="s">
        <v>259</v>
      </c>
      <c r="B9" s="102" t="s">
        <v>272</v>
      </c>
      <c r="C9" s="101" t="s">
        <v>174</v>
      </c>
      <c r="D9" s="101">
        <v>90</v>
      </c>
      <c r="E9" s="100">
        <v>12</v>
      </c>
      <c r="F9" s="100">
        <f>D9*E9</f>
        <v>1080</v>
      </c>
      <c r="H9" s="102" t="s">
        <v>259</v>
      </c>
      <c r="I9" s="102" t="s">
        <v>170</v>
      </c>
      <c r="J9" s="100"/>
      <c r="L9" s="106" t="s">
        <v>290</v>
      </c>
      <c r="N9" t="s">
        <v>289</v>
      </c>
    </row>
    <row r="10" spans="1:14">
      <c r="A10" s="102" t="s">
        <v>259</v>
      </c>
      <c r="B10" s="102" t="s">
        <v>272</v>
      </c>
      <c r="C10" s="101" t="s">
        <v>174</v>
      </c>
      <c r="D10" s="101">
        <v>18</v>
      </c>
      <c r="E10" s="100">
        <v>15</v>
      </c>
      <c r="F10" s="100">
        <f>D10*E10</f>
        <v>270</v>
      </c>
      <c r="J10" s="107"/>
      <c r="L10" s="106" t="s">
        <v>288</v>
      </c>
      <c r="N10" t="s">
        <v>287</v>
      </c>
    </row>
    <row r="11" spans="1:14">
      <c r="A11" s="102" t="s">
        <v>262</v>
      </c>
      <c r="B11" s="102" t="s">
        <v>267</v>
      </c>
      <c r="C11" s="101" t="s">
        <v>174</v>
      </c>
      <c r="D11" s="101">
        <v>6</v>
      </c>
      <c r="E11" s="100">
        <v>14</v>
      </c>
      <c r="F11" s="100">
        <f>D11*E11</f>
        <v>84</v>
      </c>
      <c r="H11" s="4" t="s">
        <v>286</v>
      </c>
    </row>
    <row r="12" spans="1:14">
      <c r="A12" s="102" t="s">
        <v>262</v>
      </c>
      <c r="B12" s="102" t="s">
        <v>267</v>
      </c>
      <c r="C12" s="101" t="s">
        <v>269</v>
      </c>
      <c r="D12" s="101">
        <v>9</v>
      </c>
      <c r="E12" s="100">
        <v>18</v>
      </c>
      <c r="F12" s="100">
        <f>D12*E12</f>
        <v>162</v>
      </c>
      <c r="H12" s="103" t="s">
        <v>139</v>
      </c>
      <c r="I12" s="105" t="s">
        <v>5</v>
      </c>
      <c r="J12" s="105" t="s">
        <v>279</v>
      </c>
      <c r="L12" s="106" t="s">
        <v>285</v>
      </c>
      <c r="N12" t="s">
        <v>284</v>
      </c>
    </row>
    <row r="13" spans="1:14">
      <c r="A13" s="102" t="s">
        <v>262</v>
      </c>
      <c r="B13" s="102" t="s">
        <v>267</v>
      </c>
      <c r="C13" s="101" t="s">
        <v>269</v>
      </c>
      <c r="D13" s="101">
        <v>15</v>
      </c>
      <c r="E13" s="100">
        <v>18</v>
      </c>
      <c r="F13" s="100">
        <f>D13*E13</f>
        <v>270</v>
      </c>
      <c r="H13" s="102" t="s">
        <v>261</v>
      </c>
      <c r="I13" s="102" t="s">
        <v>283</v>
      </c>
      <c r="J13" s="101"/>
      <c r="L13" s="106" t="s">
        <v>282</v>
      </c>
      <c r="N13" t="s">
        <v>281</v>
      </c>
    </row>
    <row r="14" spans="1:14">
      <c r="A14" s="102" t="s">
        <v>262</v>
      </c>
      <c r="B14" s="102" t="s">
        <v>264</v>
      </c>
      <c r="C14" s="101" t="s">
        <v>269</v>
      </c>
      <c r="D14" s="101">
        <v>8</v>
      </c>
      <c r="E14" s="100">
        <v>26</v>
      </c>
      <c r="F14" s="100">
        <f>D14*E14</f>
        <v>208</v>
      </c>
    </row>
    <row r="15" spans="1:14">
      <c r="A15" s="102" t="s">
        <v>262</v>
      </c>
      <c r="B15" s="102" t="s">
        <v>258</v>
      </c>
      <c r="C15" s="101" t="s">
        <v>174</v>
      </c>
      <c r="D15" s="101">
        <v>12</v>
      </c>
      <c r="E15" s="100">
        <v>15</v>
      </c>
      <c r="F15" s="100">
        <f>D15*E15</f>
        <v>180</v>
      </c>
    </row>
    <row r="16" spans="1:14">
      <c r="A16" s="102" t="s">
        <v>262</v>
      </c>
      <c r="B16" s="102" t="s">
        <v>272</v>
      </c>
      <c r="C16" s="101" t="s">
        <v>269</v>
      </c>
      <c r="D16" s="101">
        <v>60</v>
      </c>
      <c r="E16" s="100">
        <v>12</v>
      </c>
      <c r="F16" s="100">
        <f>D16*E16</f>
        <v>720</v>
      </c>
      <c r="H16" s="103" t="s">
        <v>154</v>
      </c>
      <c r="I16" s="103" t="s">
        <v>5</v>
      </c>
      <c r="J16" s="103" t="s">
        <v>8</v>
      </c>
    </row>
    <row r="17" spans="1:10">
      <c r="A17" s="102" t="s">
        <v>195</v>
      </c>
      <c r="B17" s="102" t="s">
        <v>267</v>
      </c>
      <c r="C17" s="101" t="s">
        <v>269</v>
      </c>
      <c r="D17" s="101">
        <v>6</v>
      </c>
      <c r="E17" s="100">
        <v>16</v>
      </c>
      <c r="F17" s="100">
        <f>D17*E17</f>
        <v>96</v>
      </c>
      <c r="H17" s="102" t="s">
        <v>170</v>
      </c>
      <c r="I17" s="102" t="s">
        <v>280</v>
      </c>
      <c r="J17" s="104"/>
    </row>
    <row r="18" spans="1:10">
      <c r="A18" s="102" t="s">
        <v>195</v>
      </c>
      <c r="B18" s="102" t="s">
        <v>267</v>
      </c>
      <c r="C18" s="101" t="s">
        <v>170</v>
      </c>
      <c r="D18" s="101">
        <v>19</v>
      </c>
      <c r="E18" s="100">
        <v>11</v>
      </c>
      <c r="F18" s="100">
        <f>D18*E18</f>
        <v>209</v>
      </c>
    </row>
    <row r="19" spans="1:10">
      <c r="A19" s="102" t="s">
        <v>195</v>
      </c>
      <c r="B19" s="102" t="s">
        <v>264</v>
      </c>
      <c r="C19" s="101" t="s">
        <v>165</v>
      </c>
      <c r="D19" s="101">
        <v>16</v>
      </c>
      <c r="E19" s="100">
        <v>16</v>
      </c>
      <c r="F19" s="100">
        <f>D19*E19</f>
        <v>256</v>
      </c>
      <c r="H19" s="103" t="s">
        <v>139</v>
      </c>
      <c r="I19" s="105" t="s">
        <v>154</v>
      </c>
      <c r="J19" s="105" t="s">
        <v>8</v>
      </c>
    </row>
    <row r="20" spans="1:10">
      <c r="A20" s="102" t="s">
        <v>195</v>
      </c>
      <c r="B20" s="102" t="s">
        <v>264</v>
      </c>
      <c r="C20" s="101" t="s">
        <v>174</v>
      </c>
      <c r="D20" s="101">
        <v>9</v>
      </c>
      <c r="E20" s="100">
        <v>12</v>
      </c>
      <c r="F20" s="100">
        <f>D20*E20</f>
        <v>108</v>
      </c>
      <c r="H20" s="102" t="s">
        <v>195</v>
      </c>
      <c r="I20" s="102" t="s">
        <v>174</v>
      </c>
      <c r="J20" s="100"/>
    </row>
    <row r="21" spans="1:10">
      <c r="A21" s="102" t="s">
        <v>195</v>
      </c>
      <c r="B21" s="102" t="s">
        <v>260</v>
      </c>
      <c r="C21" s="101" t="s">
        <v>174</v>
      </c>
      <c r="D21" s="101">
        <v>45</v>
      </c>
      <c r="E21" s="100">
        <v>17</v>
      </c>
      <c r="F21" s="100">
        <f>D21*E21</f>
        <v>765</v>
      </c>
    </row>
    <row r="22" spans="1:10">
      <c r="A22" s="102" t="s">
        <v>195</v>
      </c>
      <c r="B22" s="102" t="s">
        <v>260</v>
      </c>
      <c r="C22" s="101" t="s">
        <v>174</v>
      </c>
      <c r="D22" s="101">
        <v>15</v>
      </c>
      <c r="E22" s="100">
        <v>15</v>
      </c>
      <c r="F22" s="100">
        <f>D22*E22</f>
        <v>225</v>
      </c>
    </row>
    <row r="23" spans="1:10">
      <c r="A23" s="102" t="s">
        <v>195</v>
      </c>
      <c r="B23" s="102" t="s">
        <v>272</v>
      </c>
      <c r="C23" s="101" t="s">
        <v>165</v>
      </c>
      <c r="D23" s="101">
        <v>18</v>
      </c>
      <c r="E23" s="100">
        <v>18</v>
      </c>
      <c r="F23" s="100">
        <f>D23*E23</f>
        <v>324</v>
      </c>
    </row>
    <row r="24" spans="1:10">
      <c r="A24" s="102" t="s">
        <v>261</v>
      </c>
      <c r="B24" s="102" t="s">
        <v>273</v>
      </c>
      <c r="C24" s="101" t="s">
        <v>174</v>
      </c>
      <c r="D24" s="101">
        <v>42</v>
      </c>
      <c r="E24" s="100">
        <v>15</v>
      </c>
      <c r="F24" s="100">
        <f>D24*E24</f>
        <v>630</v>
      </c>
    </row>
    <row r="25" spans="1:10">
      <c r="A25" s="102" t="s">
        <v>261</v>
      </c>
      <c r="B25" s="102" t="s">
        <v>264</v>
      </c>
      <c r="C25" s="101" t="s">
        <v>269</v>
      </c>
      <c r="D25" s="101">
        <v>18</v>
      </c>
      <c r="E25" s="100">
        <v>13</v>
      </c>
      <c r="F25" s="100">
        <f>D25*E25</f>
        <v>234</v>
      </c>
    </row>
    <row r="26" spans="1:10">
      <c r="A26" s="102" t="s">
        <v>261</v>
      </c>
      <c r="B26" s="102" t="s">
        <v>264</v>
      </c>
      <c r="C26" s="101" t="s">
        <v>269</v>
      </c>
      <c r="D26" s="101">
        <v>20</v>
      </c>
      <c r="E26" s="100">
        <v>11</v>
      </c>
      <c r="F26" s="100">
        <f>D26*E26</f>
        <v>220</v>
      </c>
    </row>
    <row r="27" spans="1:10">
      <c r="A27" s="102" t="s">
        <v>261</v>
      </c>
      <c r="B27" s="102" t="s">
        <v>260</v>
      </c>
      <c r="C27" s="101" t="s">
        <v>165</v>
      </c>
      <c r="D27" s="101">
        <v>5</v>
      </c>
      <c r="E27" s="100">
        <v>13</v>
      </c>
      <c r="F27" s="100">
        <f>D27*E27</f>
        <v>65</v>
      </c>
    </row>
    <row r="28" spans="1:10">
      <c r="A28" s="102" t="s">
        <v>261</v>
      </c>
      <c r="B28" s="102" t="s">
        <v>258</v>
      </c>
      <c r="C28" s="101" t="s">
        <v>170</v>
      </c>
      <c r="D28" s="101">
        <v>13</v>
      </c>
      <c r="E28" s="100">
        <v>16</v>
      </c>
      <c r="F28" s="100">
        <f>D28*E28</f>
        <v>208</v>
      </c>
    </row>
    <row r="29" spans="1:10">
      <c r="A29" s="102" t="s">
        <v>261</v>
      </c>
      <c r="B29" s="102" t="s">
        <v>258</v>
      </c>
      <c r="C29" s="101" t="s">
        <v>174</v>
      </c>
      <c r="D29" s="101">
        <v>13</v>
      </c>
      <c r="E29" s="100">
        <v>11</v>
      </c>
      <c r="F29" s="100">
        <f>D29*E29</f>
        <v>143</v>
      </c>
    </row>
    <row r="30" spans="1:10">
      <c r="A30" s="102" t="s">
        <v>261</v>
      </c>
      <c r="B30" s="102" t="s">
        <v>272</v>
      </c>
      <c r="C30" s="101" t="s">
        <v>170</v>
      </c>
      <c r="D30" s="101">
        <v>8</v>
      </c>
      <c r="E30" s="100">
        <v>9</v>
      </c>
      <c r="F30" s="100">
        <f>D30*E30</f>
        <v>72</v>
      </c>
    </row>
  </sheetData>
  <mergeCells count="1">
    <mergeCell ref="H3:I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86C09-5F6A-4BEC-A344-450C62F6E9B8}">
  <dimension ref="A1:E15"/>
  <sheetViews>
    <sheetView zoomScale="205" zoomScaleNormal="205" workbookViewId="0">
      <selection activeCell="F12" sqref="F12"/>
    </sheetView>
  </sheetViews>
  <sheetFormatPr defaultRowHeight="15"/>
  <cols>
    <col min="1" max="1" width="9.28515625" bestFit="1" customWidth="1"/>
    <col min="2" max="2" width="12.5703125" bestFit="1" customWidth="1"/>
  </cols>
  <sheetData>
    <row r="1" spans="1:5">
      <c r="A1" s="98" t="s">
        <v>0</v>
      </c>
      <c r="B1" s="98" t="s">
        <v>257</v>
      </c>
    </row>
    <row r="2" spans="1:5">
      <c r="A2" s="26" t="s">
        <v>158</v>
      </c>
      <c r="B2" s="26">
        <v>100</v>
      </c>
    </row>
    <row r="3" spans="1:5">
      <c r="A3" s="26" t="s">
        <v>84</v>
      </c>
      <c r="B3" s="36">
        <v>350</v>
      </c>
      <c r="E3" t="s">
        <v>256</v>
      </c>
    </row>
    <row r="4" spans="1:5" ht="15.75" thickBot="1">
      <c r="A4" s="26" t="s">
        <v>2</v>
      </c>
      <c r="B4" s="26">
        <v>700</v>
      </c>
      <c r="E4" s="97" t="s">
        <v>255</v>
      </c>
    </row>
    <row r="5" spans="1:5" ht="15.75" thickBot="1">
      <c r="A5" s="26" t="s">
        <v>254</v>
      </c>
      <c r="B5" s="26"/>
      <c r="E5" s="96"/>
    </row>
    <row r="6" spans="1:5">
      <c r="A6" s="26" t="s">
        <v>253</v>
      </c>
      <c r="B6" s="36"/>
      <c r="E6" t="s">
        <v>252</v>
      </c>
    </row>
    <row r="7" spans="1:5" ht="15.75" thickBot="1">
      <c r="A7" s="26" t="s">
        <v>251</v>
      </c>
      <c r="B7" s="36">
        <v>500</v>
      </c>
      <c r="E7" s="97" t="s">
        <v>250</v>
      </c>
    </row>
    <row r="8" spans="1:5" ht="15.75" thickBot="1">
      <c r="A8" s="26" t="s">
        <v>249</v>
      </c>
      <c r="B8" s="26">
        <v>450</v>
      </c>
      <c r="E8" s="96"/>
    </row>
    <row r="9" spans="1:5">
      <c r="A9" s="26" t="s">
        <v>82</v>
      </c>
      <c r="B9" s="36"/>
      <c r="E9" t="s">
        <v>248</v>
      </c>
    </row>
    <row r="10" spans="1:5" ht="15.75" thickBot="1">
      <c r="A10" s="26" t="s">
        <v>3</v>
      </c>
      <c r="B10" s="36"/>
      <c r="E10" s="97" t="s">
        <v>247</v>
      </c>
    </row>
    <row r="11" spans="1:5" ht="15.75" thickBot="1">
      <c r="A11" s="26" t="s">
        <v>246</v>
      </c>
      <c r="B11" s="26">
        <v>900</v>
      </c>
      <c r="E11" s="96"/>
    </row>
    <row r="12" spans="1:5">
      <c r="A12" s="26" t="s">
        <v>169</v>
      </c>
      <c r="B12" s="26">
        <v>850</v>
      </c>
    </row>
    <row r="13" spans="1:5">
      <c r="A13" s="26" t="s">
        <v>4</v>
      </c>
      <c r="B13" s="36"/>
    </row>
    <row r="14" spans="1:5">
      <c r="A14" s="26" t="s">
        <v>79</v>
      </c>
      <c r="B14" s="36"/>
    </row>
    <row r="15" spans="1:5">
      <c r="A15" s="26" t="s">
        <v>188</v>
      </c>
      <c r="B15" s="26">
        <v>200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1"/>
  <sheetViews>
    <sheetView workbookViewId="0">
      <selection activeCell="F4" sqref="F4"/>
    </sheetView>
  </sheetViews>
  <sheetFormatPr defaultRowHeight="15"/>
  <sheetData>
    <row r="1" spans="1:2">
      <c r="A1" s="1" t="s">
        <v>12</v>
      </c>
      <c r="B1" s="1" t="s">
        <v>20</v>
      </c>
    </row>
    <row r="2" spans="1:2">
      <c r="A2" t="s">
        <v>2</v>
      </c>
      <c r="B2" t="s">
        <v>21</v>
      </c>
    </row>
    <row r="3" spans="1:2">
      <c r="A3" t="s">
        <v>3</v>
      </c>
      <c r="B3" t="s">
        <v>22</v>
      </c>
    </row>
    <row r="4" spans="1:2">
      <c r="A4" t="s">
        <v>23</v>
      </c>
      <c r="B4" t="s">
        <v>21</v>
      </c>
    </row>
    <row r="5" spans="1:2">
      <c r="A5" t="s">
        <v>24</v>
      </c>
      <c r="B5" t="s">
        <v>21</v>
      </c>
    </row>
    <row r="6" spans="1:2">
      <c r="A6" t="s">
        <v>17</v>
      </c>
      <c r="B6" t="s">
        <v>22</v>
      </c>
    </row>
    <row r="10" spans="1:2">
      <c r="A10" t="s">
        <v>40</v>
      </c>
    </row>
    <row r="12" spans="1:2">
      <c r="A12" t="s">
        <v>41</v>
      </c>
    </row>
    <row r="14" spans="1:2">
      <c r="A14" t="s">
        <v>42</v>
      </c>
    </row>
    <row r="15" spans="1:2">
      <c r="A15" s="2"/>
    </row>
    <row r="16" spans="1:2">
      <c r="A16" t="s">
        <v>44</v>
      </c>
    </row>
    <row r="17" spans="1:1">
      <c r="A17" s="2"/>
    </row>
    <row r="18" spans="1:1">
      <c r="A18" t="s">
        <v>43</v>
      </c>
    </row>
    <row r="19" spans="1:1">
      <c r="A19" s="2"/>
    </row>
    <row r="21" spans="1:1">
      <c r="A21" s="2"/>
    </row>
  </sheetData>
  <pageMargins left="0.75" right="0.75" top="1" bottom="1" header="0.5" footer="0.5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F06FA-A4F3-4DD6-A071-BEA1205E9CF5}">
  <dimension ref="A1:O30"/>
  <sheetViews>
    <sheetView workbookViewId="0">
      <selection activeCell="J9" sqref="J9"/>
    </sheetView>
  </sheetViews>
  <sheetFormatPr defaultRowHeight="15"/>
  <cols>
    <col min="1" max="1" width="10.85546875" bestFit="1" customWidth="1"/>
    <col min="2" max="2" width="12.140625" bestFit="1" customWidth="1"/>
    <col min="3" max="3" width="9.5703125" bestFit="1" customWidth="1"/>
    <col min="4" max="4" width="7" bestFit="1" customWidth="1"/>
    <col min="5" max="5" width="9.5703125" bestFit="1" customWidth="1"/>
    <col min="6" max="6" width="10.5703125" bestFit="1" customWidth="1"/>
    <col min="7" max="7" width="1.42578125" customWidth="1"/>
    <col min="8" max="8" width="25.28515625" customWidth="1"/>
    <col min="9" max="9" width="20.5703125" customWidth="1"/>
    <col min="10" max="10" width="19.28515625" bestFit="1" customWidth="1"/>
  </cols>
  <sheetData>
    <row r="1" spans="1:15" ht="15.75">
      <c r="A1" s="142" t="s">
        <v>5</v>
      </c>
      <c r="B1" s="142" t="s">
        <v>139</v>
      </c>
      <c r="C1" s="142" t="s">
        <v>154</v>
      </c>
      <c r="D1" s="142" t="s">
        <v>279</v>
      </c>
      <c r="E1" s="142" t="s">
        <v>37</v>
      </c>
      <c r="F1" s="141" t="s">
        <v>8</v>
      </c>
      <c r="H1" s="132" t="s">
        <v>319</v>
      </c>
      <c r="I1" s="131"/>
      <c r="J1" s="130"/>
      <c r="O1" s="75"/>
    </row>
    <row r="2" spans="1:15">
      <c r="A2" s="140" t="s">
        <v>264</v>
      </c>
      <c r="B2" s="138" t="s">
        <v>301</v>
      </c>
      <c r="C2" s="139" t="s">
        <v>174</v>
      </c>
      <c r="D2" s="138">
        <v>19</v>
      </c>
      <c r="E2" s="137">
        <v>42.36</v>
      </c>
      <c r="F2" s="116">
        <f>D2*E2</f>
        <v>804.84</v>
      </c>
      <c r="H2" s="26"/>
      <c r="I2" s="129" t="s">
        <v>313</v>
      </c>
      <c r="J2" s="128" t="s">
        <v>312</v>
      </c>
    </row>
    <row r="3" spans="1:15">
      <c r="A3" s="120" t="s">
        <v>306</v>
      </c>
      <c r="B3" s="118" t="s">
        <v>259</v>
      </c>
      <c r="C3" s="119" t="s">
        <v>174</v>
      </c>
      <c r="D3" s="118">
        <v>3</v>
      </c>
      <c r="E3" s="117">
        <v>12.36</v>
      </c>
      <c r="F3" s="116">
        <f>D3*E3</f>
        <v>37.08</v>
      </c>
      <c r="H3" s="127" t="s">
        <v>315</v>
      </c>
      <c r="I3" s="135"/>
      <c r="J3" s="30">
        <v>6</v>
      </c>
    </row>
    <row r="4" spans="1:15">
      <c r="A4" s="120" t="s">
        <v>258</v>
      </c>
      <c r="B4" s="118" t="s">
        <v>262</v>
      </c>
      <c r="C4" s="119" t="s">
        <v>174</v>
      </c>
      <c r="D4" s="118">
        <v>5</v>
      </c>
      <c r="E4" s="117">
        <v>19.440000000000001</v>
      </c>
      <c r="F4" s="116">
        <f>D4*E4</f>
        <v>97.2</v>
      </c>
      <c r="H4" s="127" t="s">
        <v>318</v>
      </c>
      <c r="I4" s="135"/>
      <c r="J4" s="136">
        <v>8</v>
      </c>
    </row>
    <row r="5" spans="1:15">
      <c r="A5" s="120" t="s">
        <v>306</v>
      </c>
      <c r="B5" s="118" t="s">
        <v>262</v>
      </c>
      <c r="C5" s="119" t="s">
        <v>174</v>
      </c>
      <c r="D5" s="118">
        <v>6</v>
      </c>
      <c r="E5" s="117">
        <v>13.45</v>
      </c>
      <c r="F5" s="116">
        <f>D5*E5</f>
        <v>80.699999999999989</v>
      </c>
      <c r="H5" s="127" t="s">
        <v>317</v>
      </c>
      <c r="I5" s="135"/>
      <c r="J5" s="30">
        <v>3</v>
      </c>
    </row>
    <row r="6" spans="1:15">
      <c r="A6" s="120" t="s">
        <v>273</v>
      </c>
      <c r="B6" s="118" t="s">
        <v>305</v>
      </c>
      <c r="C6" s="119" t="s">
        <v>174</v>
      </c>
      <c r="D6" s="118">
        <v>42</v>
      </c>
      <c r="E6" s="117">
        <v>12.54</v>
      </c>
      <c r="F6" s="116">
        <f>D6*E6</f>
        <v>526.67999999999995</v>
      </c>
    </row>
    <row r="7" spans="1:15" ht="15.75">
      <c r="A7" s="120" t="s">
        <v>272</v>
      </c>
      <c r="B7" s="118" t="s">
        <v>305</v>
      </c>
      <c r="C7" s="119" t="s">
        <v>170</v>
      </c>
      <c r="D7" s="118">
        <v>8</v>
      </c>
      <c r="E7" s="117">
        <v>9.51</v>
      </c>
      <c r="F7" s="116">
        <f>D7*E7</f>
        <v>76.08</v>
      </c>
      <c r="H7" s="132" t="s">
        <v>316</v>
      </c>
      <c r="I7" s="131"/>
      <c r="J7" s="130"/>
    </row>
    <row r="8" spans="1:15">
      <c r="A8" s="120" t="s">
        <v>306</v>
      </c>
      <c r="B8" s="118" t="s">
        <v>301</v>
      </c>
      <c r="C8" s="119" t="s">
        <v>269</v>
      </c>
      <c r="D8" s="118">
        <v>6</v>
      </c>
      <c r="E8" s="117">
        <v>15.3</v>
      </c>
      <c r="F8" s="116">
        <f>D8*E8</f>
        <v>91.800000000000011</v>
      </c>
      <c r="H8" s="26"/>
      <c r="I8" s="129" t="s">
        <v>313</v>
      </c>
      <c r="J8" s="128" t="s">
        <v>312</v>
      </c>
    </row>
    <row r="9" spans="1:15">
      <c r="A9" s="120" t="s">
        <v>264</v>
      </c>
      <c r="B9" s="118" t="s">
        <v>301</v>
      </c>
      <c r="C9" s="119" t="s">
        <v>269</v>
      </c>
      <c r="D9" s="118">
        <v>9</v>
      </c>
      <c r="E9" s="117">
        <v>26.59</v>
      </c>
      <c r="F9" s="116">
        <f>D9*E9</f>
        <v>239.31</v>
      </c>
      <c r="H9" s="127" t="s">
        <v>259</v>
      </c>
      <c r="I9" s="134"/>
      <c r="J9" s="133">
        <v>1904.32</v>
      </c>
    </row>
    <row r="10" spans="1:15">
      <c r="A10" s="120" t="s">
        <v>260</v>
      </c>
      <c r="B10" s="118" t="s">
        <v>259</v>
      </c>
      <c r="C10" s="119" t="s">
        <v>170</v>
      </c>
      <c r="D10" s="118">
        <v>4</v>
      </c>
      <c r="E10" s="117">
        <v>12.99</v>
      </c>
      <c r="F10" s="116">
        <f>D10*E10</f>
        <v>51.96</v>
      </c>
      <c r="H10" s="127" t="s">
        <v>315</v>
      </c>
      <c r="I10" s="134"/>
      <c r="J10" s="133">
        <v>1393.99</v>
      </c>
    </row>
    <row r="11" spans="1:15">
      <c r="A11" s="120" t="s">
        <v>258</v>
      </c>
      <c r="B11" s="118" t="s">
        <v>262</v>
      </c>
      <c r="C11" s="119" t="s">
        <v>165</v>
      </c>
      <c r="D11" s="118">
        <v>12</v>
      </c>
      <c r="E11" s="117">
        <v>15.97</v>
      </c>
      <c r="F11" s="116">
        <f>D11*E11</f>
        <v>191.64000000000001</v>
      </c>
    </row>
    <row r="12" spans="1:15" ht="15.75">
      <c r="A12" s="120" t="s">
        <v>258</v>
      </c>
      <c r="B12" s="118" t="s">
        <v>305</v>
      </c>
      <c r="C12" s="119" t="s">
        <v>170</v>
      </c>
      <c r="D12" s="118">
        <v>13</v>
      </c>
      <c r="E12" s="117">
        <v>16.010000000000002</v>
      </c>
      <c r="F12" s="116">
        <f>D12*E12</f>
        <v>208.13000000000002</v>
      </c>
      <c r="H12" s="132" t="s">
        <v>314</v>
      </c>
      <c r="I12" s="131"/>
      <c r="J12" s="130"/>
    </row>
    <row r="13" spans="1:15">
      <c r="A13" s="120" t="s">
        <v>272</v>
      </c>
      <c r="B13" s="118" t="s">
        <v>259</v>
      </c>
      <c r="C13" s="119" t="s">
        <v>170</v>
      </c>
      <c r="D13" s="118">
        <v>14</v>
      </c>
      <c r="E13" s="117">
        <v>14.5</v>
      </c>
      <c r="F13" s="116">
        <f>D13*E13</f>
        <v>203</v>
      </c>
      <c r="H13" s="26"/>
      <c r="I13" s="129" t="s">
        <v>313</v>
      </c>
      <c r="J13" s="128" t="s">
        <v>312</v>
      </c>
    </row>
    <row r="14" spans="1:15">
      <c r="A14" s="120" t="s">
        <v>272</v>
      </c>
      <c r="B14" s="118" t="s">
        <v>301</v>
      </c>
      <c r="C14" s="119" t="s">
        <v>165</v>
      </c>
      <c r="D14" s="118">
        <v>18</v>
      </c>
      <c r="E14" s="117">
        <v>15</v>
      </c>
      <c r="F14" s="116">
        <f>D14*E14</f>
        <v>270</v>
      </c>
      <c r="H14" s="127" t="s">
        <v>311</v>
      </c>
      <c r="I14" s="126"/>
      <c r="J14" s="30">
        <v>3</v>
      </c>
    </row>
    <row r="15" spans="1:15">
      <c r="A15" s="120" t="s">
        <v>306</v>
      </c>
      <c r="B15" s="118" t="s">
        <v>301</v>
      </c>
      <c r="C15" s="119" t="s">
        <v>174</v>
      </c>
      <c r="D15" s="118">
        <v>19</v>
      </c>
      <c r="E15" s="117">
        <v>12</v>
      </c>
      <c r="F15" s="116">
        <f>D15*E15</f>
        <v>228</v>
      </c>
      <c r="H15" s="127" t="s">
        <v>310</v>
      </c>
      <c r="I15" s="126"/>
      <c r="J15" s="30">
        <v>2</v>
      </c>
    </row>
    <row r="16" spans="1:15">
      <c r="A16" s="120" t="s">
        <v>273</v>
      </c>
      <c r="B16" s="118" t="s">
        <v>259</v>
      </c>
      <c r="C16" s="119" t="s">
        <v>170</v>
      </c>
      <c r="D16" s="118">
        <v>20</v>
      </c>
      <c r="E16" s="117">
        <v>3.14</v>
      </c>
      <c r="F16" s="116">
        <f>D16*E16</f>
        <v>62.800000000000004</v>
      </c>
      <c r="H16" s="127" t="s">
        <v>309</v>
      </c>
      <c r="I16" s="126"/>
      <c r="J16" s="30">
        <v>4</v>
      </c>
    </row>
    <row r="17" spans="1:10">
      <c r="A17" s="120" t="s">
        <v>264</v>
      </c>
      <c r="B17" s="118" t="s">
        <v>305</v>
      </c>
      <c r="C17" s="119" t="s">
        <v>269</v>
      </c>
      <c r="D17" s="118">
        <v>18</v>
      </c>
      <c r="E17" s="117">
        <v>19.98</v>
      </c>
      <c r="F17" s="116">
        <f>D17*E17</f>
        <v>359.64</v>
      </c>
    </row>
    <row r="18" spans="1:10">
      <c r="A18" s="120" t="s">
        <v>272</v>
      </c>
      <c r="B18" s="118" t="s">
        <v>259</v>
      </c>
      <c r="C18" s="119" t="s">
        <v>170</v>
      </c>
      <c r="D18" s="118">
        <v>18</v>
      </c>
      <c r="E18" s="117">
        <v>19.54</v>
      </c>
      <c r="F18" s="116">
        <f>D18*E18</f>
        <v>351.71999999999997</v>
      </c>
    </row>
    <row r="19" spans="1:10" ht="15.75" thickBot="1">
      <c r="A19" s="120" t="s">
        <v>306</v>
      </c>
      <c r="B19" s="118" t="s">
        <v>262</v>
      </c>
      <c r="C19" s="119" t="s">
        <v>269</v>
      </c>
      <c r="D19" s="118">
        <v>15</v>
      </c>
      <c r="E19" s="117">
        <v>18.440000000000001</v>
      </c>
      <c r="F19" s="116">
        <f>D19*E19</f>
        <v>276.60000000000002</v>
      </c>
    </row>
    <row r="20" spans="1:10" ht="16.5" thickBot="1">
      <c r="A20" s="120" t="s">
        <v>264</v>
      </c>
      <c r="B20" s="118" t="s">
        <v>301</v>
      </c>
      <c r="C20" s="119" t="s">
        <v>165</v>
      </c>
      <c r="D20" s="118">
        <v>16</v>
      </c>
      <c r="E20" s="117">
        <v>16.93</v>
      </c>
      <c r="F20" s="116">
        <f>D20*E20</f>
        <v>270.88</v>
      </c>
      <c r="H20" s="122" t="s">
        <v>154</v>
      </c>
      <c r="I20" s="122" t="s">
        <v>308</v>
      </c>
      <c r="J20" s="122" t="s">
        <v>307</v>
      </c>
    </row>
    <row r="21" spans="1:10">
      <c r="A21" s="120" t="s">
        <v>260</v>
      </c>
      <c r="B21" s="118" t="s">
        <v>305</v>
      </c>
      <c r="C21" s="119" t="s">
        <v>269</v>
      </c>
      <c r="D21" s="118">
        <v>5</v>
      </c>
      <c r="E21" s="117">
        <v>15.78</v>
      </c>
      <c r="F21" s="116">
        <f>D21*E21</f>
        <v>78.899999999999991</v>
      </c>
      <c r="H21" s="121" t="s">
        <v>174</v>
      </c>
      <c r="I21" s="125"/>
      <c r="J21" s="124"/>
    </row>
    <row r="22" spans="1:10">
      <c r="A22" s="120" t="s">
        <v>272</v>
      </c>
      <c r="B22" s="118" t="s">
        <v>262</v>
      </c>
      <c r="C22" s="119" t="s">
        <v>269</v>
      </c>
      <c r="D22" s="118">
        <v>6</v>
      </c>
      <c r="E22" s="117">
        <v>16.07</v>
      </c>
      <c r="F22" s="116">
        <f>D22*E22</f>
        <v>96.42</v>
      </c>
      <c r="H22" s="115" t="s">
        <v>165</v>
      </c>
      <c r="I22" s="125"/>
      <c r="J22" s="124"/>
    </row>
    <row r="23" spans="1:10">
      <c r="A23" s="120" t="s">
        <v>306</v>
      </c>
      <c r="B23" s="118" t="s">
        <v>262</v>
      </c>
      <c r="C23" s="119" t="s">
        <v>269</v>
      </c>
      <c r="D23" s="118">
        <v>9</v>
      </c>
      <c r="E23" s="117">
        <v>18.649999999999999</v>
      </c>
      <c r="F23" s="116">
        <f>D23*E23</f>
        <v>167.85</v>
      </c>
      <c r="H23" s="115" t="s">
        <v>170</v>
      </c>
      <c r="I23" s="125"/>
      <c r="J23" s="124"/>
    </row>
    <row r="24" spans="1:10" ht="15.75" thickBot="1">
      <c r="A24" s="120" t="s">
        <v>272</v>
      </c>
      <c r="B24" s="118" t="s">
        <v>259</v>
      </c>
      <c r="C24" s="119" t="s">
        <v>170</v>
      </c>
      <c r="D24" s="118">
        <v>8</v>
      </c>
      <c r="E24" s="117">
        <v>12.63</v>
      </c>
      <c r="F24" s="116">
        <f>D24*E24</f>
        <v>101.04</v>
      </c>
      <c r="H24" s="110" t="s">
        <v>269</v>
      </c>
      <c r="I24" s="110"/>
      <c r="J24" s="123"/>
    </row>
    <row r="25" spans="1:10" ht="15.75" thickBot="1">
      <c r="A25" s="120" t="s">
        <v>258</v>
      </c>
      <c r="B25" s="118" t="s">
        <v>305</v>
      </c>
      <c r="C25" s="119" t="s">
        <v>174</v>
      </c>
      <c r="D25" s="118">
        <v>13</v>
      </c>
      <c r="E25" s="117">
        <v>11.12</v>
      </c>
      <c r="F25" s="116">
        <f>D25*E25</f>
        <v>144.56</v>
      </c>
    </row>
    <row r="26" spans="1:10" ht="16.5" thickBot="1">
      <c r="A26" s="120" t="s">
        <v>272</v>
      </c>
      <c r="B26" s="118" t="s">
        <v>259</v>
      </c>
      <c r="C26" s="119" t="s">
        <v>170</v>
      </c>
      <c r="D26" s="118">
        <v>16</v>
      </c>
      <c r="E26" s="117">
        <v>14.32</v>
      </c>
      <c r="F26" s="116">
        <f>D26*E26</f>
        <v>229.12</v>
      </c>
      <c r="H26" s="122" t="s">
        <v>154</v>
      </c>
      <c r="I26" s="122" t="s">
        <v>304</v>
      </c>
    </row>
    <row r="27" spans="1:10">
      <c r="A27" s="120" t="s">
        <v>260</v>
      </c>
      <c r="B27" s="118" t="s">
        <v>301</v>
      </c>
      <c r="C27" s="119" t="s">
        <v>165</v>
      </c>
      <c r="D27" s="118">
        <v>15</v>
      </c>
      <c r="E27" s="117">
        <v>17.54</v>
      </c>
      <c r="F27" s="116">
        <f>D27*E27</f>
        <v>263.09999999999997</v>
      </c>
      <c r="H27" s="121" t="s">
        <v>303</v>
      </c>
      <c r="I27" s="121"/>
    </row>
    <row r="28" spans="1:10">
      <c r="A28" s="120" t="s">
        <v>264</v>
      </c>
      <c r="B28" s="118" t="s">
        <v>262</v>
      </c>
      <c r="C28" s="119" t="s">
        <v>174</v>
      </c>
      <c r="D28" s="118">
        <v>8</v>
      </c>
      <c r="E28" s="117">
        <v>14.65</v>
      </c>
      <c r="F28" s="116">
        <f>D28*E28</f>
        <v>117.2</v>
      </c>
      <c r="H28" s="115" t="s">
        <v>302</v>
      </c>
      <c r="I28" s="115"/>
    </row>
    <row r="29" spans="1:10">
      <c r="A29" s="120" t="s">
        <v>264</v>
      </c>
      <c r="B29" s="118" t="s">
        <v>301</v>
      </c>
      <c r="C29" s="119" t="s">
        <v>174</v>
      </c>
      <c r="D29" s="118">
        <v>45</v>
      </c>
      <c r="E29" s="117">
        <v>11.28</v>
      </c>
      <c r="F29" s="116">
        <f>D29*E29</f>
        <v>507.59999999999997</v>
      </c>
      <c r="H29" s="115" t="s">
        <v>300</v>
      </c>
      <c r="I29" s="115"/>
    </row>
    <row r="30" spans="1:10" ht="15.75" thickBot="1">
      <c r="A30" s="114" t="s">
        <v>272</v>
      </c>
      <c r="B30" s="112" t="s">
        <v>259</v>
      </c>
      <c r="C30" s="113" t="s">
        <v>174</v>
      </c>
      <c r="D30" s="112">
        <v>90</v>
      </c>
      <c r="E30" s="111">
        <v>9.64</v>
      </c>
      <c r="F30" s="111">
        <f>D30*E30</f>
        <v>867.6</v>
      </c>
      <c r="H30" s="110" t="s">
        <v>299</v>
      </c>
      <c r="I30" s="110"/>
    </row>
  </sheetData>
  <mergeCells count="3">
    <mergeCell ref="H7:J7"/>
    <mergeCell ref="H1:J1"/>
    <mergeCell ref="H12:J12"/>
  </mergeCells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>
      <selection activeCell="A7" sqref="A7"/>
    </sheetView>
  </sheetViews>
  <sheetFormatPr defaultRowHeight="15"/>
  <sheetData>
    <row r="1" spans="1:2">
      <c r="A1" s="1" t="s">
        <v>0</v>
      </c>
      <c r="B1" s="1" t="s">
        <v>25</v>
      </c>
    </row>
    <row r="2" spans="1:2">
      <c r="A2" t="s">
        <v>2</v>
      </c>
      <c r="B2" t="s">
        <v>26</v>
      </c>
    </row>
    <row r="3" spans="1:2">
      <c r="A3" t="s">
        <v>3</v>
      </c>
      <c r="B3" t="s">
        <v>27</v>
      </c>
    </row>
    <row r="4" spans="1:2">
      <c r="A4" t="s">
        <v>23</v>
      </c>
      <c r="B4" t="s">
        <v>28</v>
      </c>
    </row>
    <row r="7" spans="1:2">
      <c r="A7" t="s">
        <v>45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"/>
  <sheetViews>
    <sheetView workbookViewId="0">
      <selection activeCell="A8" sqref="A8"/>
    </sheetView>
  </sheetViews>
  <sheetFormatPr defaultRowHeight="15"/>
  <sheetData>
    <row r="1" spans="1:2">
      <c r="A1" s="3" t="s">
        <v>12</v>
      </c>
      <c r="B1" s="1" t="s">
        <v>15</v>
      </c>
    </row>
    <row r="2" spans="1:2">
      <c r="A2" t="s">
        <v>2</v>
      </c>
      <c r="B2">
        <v>9</v>
      </c>
    </row>
    <row r="3" spans="1:2">
      <c r="A3" t="s">
        <v>3</v>
      </c>
      <c r="B3">
        <v>4.5</v>
      </c>
    </row>
    <row r="4" spans="1:2">
      <c r="A4" t="s">
        <v>23</v>
      </c>
      <c r="B4">
        <v>6.5</v>
      </c>
    </row>
    <row r="8" spans="1:2">
      <c r="A8" s="4" t="s">
        <v>46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7"/>
  <sheetViews>
    <sheetView workbookViewId="0">
      <selection activeCell="A7" sqref="A7"/>
    </sheetView>
  </sheetViews>
  <sheetFormatPr defaultRowHeight="15"/>
  <sheetData>
    <row r="1" spans="1:3">
      <c r="A1" s="1" t="s">
        <v>29</v>
      </c>
      <c r="B1" s="1" t="s">
        <v>30</v>
      </c>
      <c r="C1" s="1" t="s">
        <v>31</v>
      </c>
    </row>
    <row r="2" spans="1:3">
      <c r="A2">
        <v>1</v>
      </c>
      <c r="B2" t="s">
        <v>32</v>
      </c>
      <c r="C2" t="s">
        <v>33</v>
      </c>
    </row>
    <row r="3" spans="1:3">
      <c r="A3">
        <v>2</v>
      </c>
      <c r="B3" t="s">
        <v>34</v>
      </c>
      <c r="C3" t="s">
        <v>35</v>
      </c>
    </row>
    <row r="4" spans="1:3">
      <c r="A4">
        <v>3</v>
      </c>
      <c r="B4" t="s">
        <v>36</v>
      </c>
      <c r="C4" t="s">
        <v>33</v>
      </c>
    </row>
    <row r="7" spans="1:3">
      <c r="A7" s="4" t="s">
        <v>47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7C7F7-029C-4E5D-849C-6A4B8BD32FF0}">
  <dimension ref="A1:K17"/>
  <sheetViews>
    <sheetView workbookViewId="0">
      <selection activeCell="B18" sqref="B18"/>
    </sheetView>
  </sheetViews>
  <sheetFormatPr defaultRowHeight="15"/>
  <cols>
    <col min="1" max="1" width="18.28515625" customWidth="1"/>
    <col min="2" max="2" width="16.140625" customWidth="1"/>
    <col min="3" max="3" width="9.28515625" bestFit="1" customWidth="1"/>
    <col min="4" max="4" width="11.7109375" bestFit="1" customWidth="1"/>
  </cols>
  <sheetData>
    <row r="1" spans="1:11" ht="21">
      <c r="A1" s="65" t="s">
        <v>153</v>
      </c>
      <c r="B1" s="65"/>
      <c r="C1" s="65"/>
      <c r="D1" s="65"/>
      <c r="E1" s="65"/>
      <c r="F1" s="65"/>
      <c r="G1" s="65"/>
      <c r="H1" s="65"/>
      <c r="I1" s="65"/>
      <c r="J1" s="65"/>
      <c r="K1" s="65"/>
    </row>
    <row r="3" spans="1:11" ht="30">
      <c r="A3" s="64" t="s">
        <v>152</v>
      </c>
      <c r="B3" s="64" t="s">
        <v>151</v>
      </c>
      <c r="C3" s="64" t="s">
        <v>25</v>
      </c>
      <c r="D3" s="64" t="s">
        <v>150</v>
      </c>
      <c r="E3" s="64" t="s">
        <v>149</v>
      </c>
      <c r="F3" s="64" t="s">
        <v>148</v>
      </c>
      <c r="G3" s="64" t="s">
        <v>147</v>
      </c>
      <c r="H3" s="64" t="s">
        <v>77</v>
      </c>
      <c r="I3" s="64" t="s">
        <v>146</v>
      </c>
      <c r="J3" s="64" t="s">
        <v>145</v>
      </c>
      <c r="K3" s="64" t="s">
        <v>144</v>
      </c>
    </row>
    <row r="4" spans="1:11">
      <c r="A4" s="62" t="s">
        <v>143</v>
      </c>
      <c r="B4" s="63">
        <v>31177</v>
      </c>
      <c r="C4" s="62" t="s">
        <v>26</v>
      </c>
      <c r="D4" s="61">
        <v>2000</v>
      </c>
      <c r="E4" s="59"/>
      <c r="F4" s="60">
        <v>1</v>
      </c>
      <c r="G4" s="59"/>
      <c r="H4" s="59"/>
      <c r="I4" s="59"/>
      <c r="J4" s="59"/>
      <c r="K4" s="59"/>
    </row>
    <row r="5" spans="1:11">
      <c r="A5" s="62" t="s">
        <v>142</v>
      </c>
      <c r="B5" s="63">
        <v>33108</v>
      </c>
      <c r="C5" s="62" t="s">
        <v>141</v>
      </c>
      <c r="D5" s="61">
        <v>1210</v>
      </c>
      <c r="E5" s="59"/>
      <c r="F5" s="60">
        <v>3</v>
      </c>
      <c r="G5" s="59"/>
      <c r="H5" s="59"/>
      <c r="I5" s="59"/>
      <c r="J5" s="59"/>
      <c r="K5" s="59"/>
    </row>
    <row r="6" spans="1:11">
      <c r="A6" s="62" t="s">
        <v>140</v>
      </c>
      <c r="B6" s="63">
        <v>25917</v>
      </c>
      <c r="C6" s="62" t="s">
        <v>139</v>
      </c>
      <c r="D6" s="61">
        <v>2500</v>
      </c>
      <c r="E6" s="59"/>
      <c r="F6" s="60">
        <v>0</v>
      </c>
      <c r="G6" s="59"/>
      <c r="H6" s="59"/>
      <c r="I6" s="59"/>
      <c r="J6" s="59"/>
      <c r="K6" s="59"/>
    </row>
    <row r="7" spans="1:11">
      <c r="A7" s="62" t="s">
        <v>138</v>
      </c>
      <c r="B7" s="63">
        <v>33792</v>
      </c>
      <c r="C7" s="62" t="s">
        <v>137</v>
      </c>
      <c r="D7" s="61">
        <v>1500</v>
      </c>
      <c r="E7" s="59"/>
      <c r="F7" s="60">
        <v>2</v>
      </c>
      <c r="G7" s="59"/>
      <c r="H7" s="59"/>
      <c r="I7" s="59"/>
      <c r="J7" s="59"/>
      <c r="K7" s="59"/>
    </row>
    <row r="8" spans="1:11">
      <c r="A8" s="62" t="s">
        <v>136</v>
      </c>
      <c r="B8" s="63">
        <v>29236</v>
      </c>
      <c r="C8" s="62" t="s">
        <v>135</v>
      </c>
      <c r="D8" s="61">
        <v>1250</v>
      </c>
      <c r="E8" s="59"/>
      <c r="F8" s="60">
        <v>5</v>
      </c>
      <c r="G8" s="59"/>
      <c r="H8" s="59"/>
      <c r="I8" s="59"/>
      <c r="J8" s="59"/>
      <c r="K8" s="59"/>
    </row>
    <row r="9" spans="1:11">
      <c r="A9" s="62" t="s">
        <v>134</v>
      </c>
      <c r="B9" s="63">
        <v>35934</v>
      </c>
      <c r="C9" s="62" t="s">
        <v>133</v>
      </c>
      <c r="D9" s="61">
        <v>1560</v>
      </c>
      <c r="E9" s="59"/>
      <c r="F9" s="60">
        <v>1</v>
      </c>
      <c r="G9" s="59"/>
      <c r="H9" s="59"/>
      <c r="I9" s="59"/>
      <c r="J9" s="59"/>
      <c r="K9" s="59"/>
    </row>
    <row r="10" spans="1:11">
      <c r="A10" s="62" t="s">
        <v>132</v>
      </c>
      <c r="B10" s="63">
        <v>32965</v>
      </c>
      <c r="C10" s="62" t="s">
        <v>27</v>
      </c>
      <c r="D10" s="61">
        <v>3200</v>
      </c>
      <c r="E10" s="59"/>
      <c r="F10" s="60">
        <v>2</v>
      </c>
      <c r="G10" s="59"/>
      <c r="H10" s="59"/>
      <c r="I10" s="59"/>
      <c r="J10" s="59"/>
      <c r="K10" s="59"/>
    </row>
    <row r="12" spans="1:11">
      <c r="A12" s="4" t="s">
        <v>131</v>
      </c>
      <c r="B12" t="s">
        <v>130</v>
      </c>
    </row>
    <row r="13" spans="1:11">
      <c r="A13" s="4" t="s">
        <v>129</v>
      </c>
      <c r="B13" t="s">
        <v>128</v>
      </c>
    </row>
    <row r="14" spans="1:11">
      <c r="A14" s="4" t="s">
        <v>127</v>
      </c>
      <c r="B14" t="s">
        <v>126</v>
      </c>
    </row>
    <row r="15" spans="1:11">
      <c r="A15" s="4" t="s">
        <v>125</v>
      </c>
      <c r="B15" t="s">
        <v>124</v>
      </c>
    </row>
    <row r="16" spans="1:11">
      <c r="A16" s="4" t="s">
        <v>123</v>
      </c>
      <c r="B16" t="s">
        <v>122</v>
      </c>
    </row>
    <row r="17" spans="1:2">
      <c r="A17" s="4" t="s">
        <v>121</v>
      </c>
      <c r="B17" t="s">
        <v>120</v>
      </c>
    </row>
  </sheetData>
  <mergeCells count="1">
    <mergeCell ref="A1:K1"/>
  </mergeCells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23B9C-C9C4-42FE-B85C-1868AA340FC1}">
  <dimension ref="A1:E17"/>
  <sheetViews>
    <sheetView workbookViewId="0">
      <selection sqref="A1:E17"/>
    </sheetView>
  </sheetViews>
  <sheetFormatPr defaultRowHeight="15"/>
  <sheetData>
    <row r="1" spans="1:5">
      <c r="A1" s="38" t="s">
        <v>0</v>
      </c>
      <c r="B1" s="38" t="s">
        <v>157</v>
      </c>
      <c r="C1" s="38" t="s">
        <v>156</v>
      </c>
      <c r="D1" s="38" t="s">
        <v>1</v>
      </c>
      <c r="E1" s="38" t="s">
        <v>154</v>
      </c>
    </row>
    <row r="2" spans="1:5">
      <c r="A2" s="26" t="s">
        <v>2</v>
      </c>
      <c r="B2" s="26" t="s">
        <v>197</v>
      </c>
      <c r="C2" s="26" t="s">
        <v>172</v>
      </c>
      <c r="D2" s="26" t="s">
        <v>196</v>
      </c>
      <c r="E2" s="30" t="s">
        <v>174</v>
      </c>
    </row>
    <row r="3" spans="1:5">
      <c r="A3" s="26" t="s">
        <v>195</v>
      </c>
      <c r="B3" s="26" t="s">
        <v>194</v>
      </c>
      <c r="C3" s="26" t="s">
        <v>193</v>
      </c>
      <c r="D3" s="26" t="s">
        <v>175</v>
      </c>
      <c r="E3" s="30" t="s">
        <v>174</v>
      </c>
    </row>
    <row r="4" spans="1:5">
      <c r="A4" s="26" t="s">
        <v>192</v>
      </c>
      <c r="B4" s="26" t="s">
        <v>191</v>
      </c>
      <c r="C4" s="26" t="s">
        <v>172</v>
      </c>
      <c r="D4" s="26" t="s">
        <v>190</v>
      </c>
      <c r="E4" s="30" t="s">
        <v>189</v>
      </c>
    </row>
    <row r="5" spans="1:5">
      <c r="A5" s="26" t="s">
        <v>188</v>
      </c>
      <c r="B5" s="26" t="s">
        <v>187</v>
      </c>
      <c r="C5" s="26" t="s">
        <v>186</v>
      </c>
      <c r="D5" s="26" t="s">
        <v>179</v>
      </c>
      <c r="E5" s="30" t="s">
        <v>174</v>
      </c>
    </row>
    <row r="6" spans="1:5">
      <c r="A6" s="26" t="s">
        <v>185</v>
      </c>
      <c r="B6" s="26" t="s">
        <v>184</v>
      </c>
      <c r="C6" s="26" t="s">
        <v>183</v>
      </c>
      <c r="D6" s="26" t="s">
        <v>182</v>
      </c>
      <c r="E6" s="30" t="s">
        <v>174</v>
      </c>
    </row>
    <row r="7" spans="1:5">
      <c r="A7" s="26" t="s">
        <v>158</v>
      </c>
      <c r="B7" s="26" t="s">
        <v>181</v>
      </c>
      <c r="C7" s="26" t="s">
        <v>180</v>
      </c>
      <c r="D7" s="26" t="s">
        <v>179</v>
      </c>
      <c r="E7" s="30" t="s">
        <v>174</v>
      </c>
    </row>
    <row r="8" spans="1:5">
      <c r="A8" s="26" t="s">
        <v>178</v>
      </c>
      <c r="B8" s="26" t="s">
        <v>177</v>
      </c>
      <c r="C8" s="26" t="s">
        <v>176</v>
      </c>
      <c r="D8" s="26" t="s">
        <v>175</v>
      </c>
      <c r="E8" s="30" t="s">
        <v>174</v>
      </c>
    </row>
    <row r="9" spans="1:5">
      <c r="A9" s="26" t="s">
        <v>159</v>
      </c>
      <c r="B9" s="26" t="s">
        <v>173</v>
      </c>
      <c r="C9" s="26" t="s">
        <v>172</v>
      </c>
      <c r="D9" s="26" t="s">
        <v>171</v>
      </c>
      <c r="E9" s="30" t="s">
        <v>170</v>
      </c>
    </row>
    <row r="10" spans="1:5">
      <c r="A10" s="26" t="s">
        <v>169</v>
      </c>
      <c r="B10" s="26" t="s">
        <v>168</v>
      </c>
      <c r="C10" s="26" t="s">
        <v>167</v>
      </c>
      <c r="D10" s="26" t="s">
        <v>166</v>
      </c>
      <c r="E10" s="30" t="s">
        <v>165</v>
      </c>
    </row>
    <row r="11" spans="1:5">
      <c r="A11" s="26" t="s">
        <v>164</v>
      </c>
      <c r="B11" s="26" t="s">
        <v>163</v>
      </c>
      <c r="C11" s="26" t="s">
        <v>162</v>
      </c>
      <c r="D11" s="26" t="s">
        <v>161</v>
      </c>
      <c r="E11" s="30" t="s">
        <v>160</v>
      </c>
    </row>
    <row r="13" spans="1:5">
      <c r="A13" s="66" t="s">
        <v>0</v>
      </c>
      <c r="B13" s="30" t="s">
        <v>159</v>
      </c>
      <c r="C13" s="30" t="s">
        <v>158</v>
      </c>
      <c r="D13" s="28" t="s">
        <v>2</v>
      </c>
      <c r="E13" s="28"/>
    </row>
    <row r="14" spans="1:5">
      <c r="A14" s="66" t="s">
        <v>157</v>
      </c>
      <c r="B14" s="26"/>
      <c r="C14" s="26"/>
      <c r="D14" s="28"/>
      <c r="E14" s="28"/>
    </row>
    <row r="15" spans="1:5">
      <c r="A15" s="66" t="s">
        <v>156</v>
      </c>
      <c r="B15" s="26"/>
      <c r="C15" s="26"/>
      <c r="D15" s="28"/>
      <c r="E15" s="28"/>
    </row>
    <row r="16" spans="1:5">
      <c r="A16" s="66" t="s">
        <v>155</v>
      </c>
      <c r="B16" s="26"/>
      <c r="C16" s="26"/>
      <c r="D16" s="28"/>
      <c r="E16" s="28"/>
    </row>
    <row r="17" spans="1:5">
      <c r="A17" s="66" t="s">
        <v>154</v>
      </c>
      <c r="B17" s="26"/>
      <c r="C17" s="26"/>
      <c r="D17" s="28"/>
      <c r="E17" s="28"/>
    </row>
  </sheetData>
  <mergeCells count="5">
    <mergeCell ref="D13:E13"/>
    <mergeCell ref="D14:E14"/>
    <mergeCell ref="D15:E15"/>
    <mergeCell ref="D16:E16"/>
    <mergeCell ref="D17:E17"/>
  </mergeCells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F5B7C-CDFB-4253-A7FF-0D4FA4F145A2}">
  <dimension ref="A1:G7"/>
  <sheetViews>
    <sheetView workbookViewId="0">
      <selection sqref="A1:E17"/>
    </sheetView>
  </sheetViews>
  <sheetFormatPr defaultRowHeight="15"/>
  <cols>
    <col min="1" max="1" width="14.28515625" bestFit="1" customWidth="1"/>
    <col min="2" max="2" width="14.42578125" bestFit="1" customWidth="1"/>
  </cols>
  <sheetData>
    <row r="1" spans="1:7">
      <c r="A1" s="75" t="s">
        <v>204</v>
      </c>
      <c r="D1" s="75" t="s">
        <v>203</v>
      </c>
    </row>
    <row r="2" spans="1:7" ht="15.75" thickBot="1">
      <c r="A2" s="75"/>
      <c r="D2" s="75"/>
    </row>
    <row r="3" spans="1:7">
      <c r="A3" s="16" t="s">
        <v>5</v>
      </c>
      <c r="B3" s="73" t="s">
        <v>202</v>
      </c>
      <c r="D3" s="16" t="s">
        <v>201</v>
      </c>
      <c r="E3" s="74" t="s">
        <v>200</v>
      </c>
      <c r="F3" s="74" t="s">
        <v>199</v>
      </c>
      <c r="G3" s="73" t="s">
        <v>198</v>
      </c>
    </row>
    <row r="4" spans="1:7">
      <c r="A4" s="72" t="s">
        <v>201</v>
      </c>
      <c r="B4" s="71"/>
      <c r="D4" s="72">
        <v>5.6</v>
      </c>
      <c r="E4">
        <v>8.6</v>
      </c>
      <c r="F4">
        <v>1.25</v>
      </c>
      <c r="G4" s="71">
        <v>9.5</v>
      </c>
    </row>
    <row r="5" spans="1:7">
      <c r="A5" s="72" t="s">
        <v>200</v>
      </c>
      <c r="B5" s="71"/>
      <c r="D5" s="72"/>
      <c r="G5" s="71"/>
    </row>
    <row r="6" spans="1:7">
      <c r="A6" s="72" t="s">
        <v>199</v>
      </c>
      <c r="B6" s="71"/>
      <c r="D6" s="72"/>
      <c r="G6" s="71"/>
    </row>
    <row r="7" spans="1:7" ht="15.75" thickBot="1">
      <c r="A7" s="70" t="s">
        <v>198</v>
      </c>
      <c r="B7" s="67"/>
      <c r="D7" s="69"/>
      <c r="E7" s="68"/>
      <c r="F7" s="68"/>
      <c r="G7" s="67"/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0B279-7F38-4F42-9470-EF60F962ED2C}">
  <dimension ref="A1:G23"/>
  <sheetViews>
    <sheetView workbookViewId="0">
      <selection sqref="A1:G17"/>
    </sheetView>
  </sheetViews>
  <sheetFormatPr defaultRowHeight="15"/>
  <cols>
    <col min="1" max="1" width="26.7109375" bestFit="1" customWidth="1"/>
    <col min="2" max="2" width="12.42578125" bestFit="1" customWidth="1"/>
    <col min="3" max="3" width="5.5703125" bestFit="1" customWidth="1"/>
    <col min="4" max="4" width="11.5703125" bestFit="1" customWidth="1"/>
    <col min="7" max="7" width="7.140625" bestFit="1" customWidth="1"/>
  </cols>
  <sheetData>
    <row r="1" spans="1:7">
      <c r="A1" s="82" t="s">
        <v>226</v>
      </c>
      <c r="B1" s="82"/>
      <c r="C1" s="82"/>
      <c r="D1" s="82"/>
      <c r="E1" s="82"/>
      <c r="F1" s="82"/>
      <c r="G1" s="82"/>
    </row>
    <row r="2" spans="1:7">
      <c r="A2" s="79" t="s">
        <v>225</v>
      </c>
      <c r="B2" s="26"/>
    </row>
    <row r="3" spans="1:7">
      <c r="A3" s="79" t="s">
        <v>218</v>
      </c>
      <c r="B3" s="26"/>
      <c r="D3" s="78" t="s">
        <v>224</v>
      </c>
      <c r="E3" s="78"/>
    </row>
    <row r="4" spans="1:7">
      <c r="D4" s="81" t="s">
        <v>218</v>
      </c>
      <c r="E4" s="81" t="s">
        <v>37</v>
      </c>
    </row>
    <row r="5" spans="1:7">
      <c r="A5" s="79" t="s">
        <v>223</v>
      </c>
      <c r="B5" s="80">
        <v>25000</v>
      </c>
      <c r="D5" s="30" t="s">
        <v>217</v>
      </c>
      <c r="E5" s="30">
        <v>5000</v>
      </c>
    </row>
    <row r="6" spans="1:7">
      <c r="D6" s="30" t="s">
        <v>216</v>
      </c>
      <c r="E6" s="30">
        <v>4000</v>
      </c>
    </row>
    <row r="7" spans="1:7">
      <c r="A7" s="79" t="s">
        <v>222</v>
      </c>
      <c r="B7" s="26"/>
      <c r="D7" s="30" t="s">
        <v>49</v>
      </c>
      <c r="E7" s="30">
        <v>3000</v>
      </c>
    </row>
    <row r="8" spans="1:7">
      <c r="D8" s="30" t="s">
        <v>51</v>
      </c>
      <c r="E8" s="30">
        <v>2000</v>
      </c>
    </row>
    <row r="9" spans="1:7">
      <c r="A9" s="79" t="s">
        <v>221</v>
      </c>
      <c r="B9" s="26"/>
      <c r="D9" s="30" t="s">
        <v>215</v>
      </c>
      <c r="E9" s="30">
        <v>1000</v>
      </c>
    </row>
    <row r="10" spans="1:7">
      <c r="D10" s="30" t="s">
        <v>22</v>
      </c>
      <c r="E10" s="30">
        <v>500</v>
      </c>
    </row>
    <row r="11" spans="1:7">
      <c r="A11" s="79" t="s">
        <v>220</v>
      </c>
      <c r="B11" s="26"/>
    </row>
    <row r="14" spans="1:7">
      <c r="A14" s="78" t="s">
        <v>219</v>
      </c>
      <c r="B14" s="78"/>
      <c r="C14" s="78"/>
      <c r="D14" s="78"/>
      <c r="E14" s="78"/>
      <c r="F14" s="78"/>
      <c r="G14" s="78"/>
    </row>
    <row r="15" spans="1:7">
      <c r="A15" s="26" t="s">
        <v>218</v>
      </c>
      <c r="B15" s="30" t="s">
        <v>217</v>
      </c>
      <c r="C15" s="30" t="s">
        <v>216</v>
      </c>
      <c r="D15" s="30" t="s">
        <v>49</v>
      </c>
      <c r="E15" s="30" t="s">
        <v>51</v>
      </c>
      <c r="F15" s="30" t="s">
        <v>215</v>
      </c>
      <c r="G15" s="30" t="s">
        <v>22</v>
      </c>
    </row>
    <row r="16" spans="1:7">
      <c r="A16" s="26" t="s">
        <v>214</v>
      </c>
      <c r="B16" s="26" t="s">
        <v>213</v>
      </c>
      <c r="C16" s="26" t="s">
        <v>212</v>
      </c>
      <c r="D16" s="26" t="s">
        <v>211</v>
      </c>
      <c r="E16" s="26" t="s">
        <v>210</v>
      </c>
      <c r="F16" s="26" t="s">
        <v>209</v>
      </c>
      <c r="G16" s="26" t="s">
        <v>208</v>
      </c>
    </row>
    <row r="19" spans="1:7" ht="31.9" customHeight="1">
      <c r="A19" s="77" t="s">
        <v>207</v>
      </c>
      <c r="B19" s="77"/>
      <c r="C19" s="77"/>
      <c r="D19" s="77"/>
      <c r="E19" s="77"/>
      <c r="F19" s="77"/>
      <c r="G19" s="77"/>
    </row>
    <row r="21" spans="1:7" ht="33.6" customHeight="1">
      <c r="A21" s="77" t="s">
        <v>206</v>
      </c>
      <c r="B21" s="77"/>
      <c r="C21" s="77"/>
      <c r="D21" s="77"/>
      <c r="E21" s="77"/>
      <c r="F21" s="77"/>
      <c r="G21" s="77"/>
    </row>
    <row r="23" spans="1:7">
      <c r="A23" s="76" t="s">
        <v>205</v>
      </c>
      <c r="B23" s="76"/>
      <c r="C23" s="76"/>
    </row>
  </sheetData>
  <mergeCells count="6">
    <mergeCell ref="A23:C23"/>
    <mergeCell ref="A1:G1"/>
    <mergeCell ref="D3:E3"/>
    <mergeCell ref="A14:G14"/>
    <mergeCell ref="A19:G19"/>
    <mergeCell ref="A21:G21"/>
  </mergeCells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802C4-9598-4DA7-97C8-449BAC85AC5A}">
  <dimension ref="A1:C6"/>
  <sheetViews>
    <sheetView workbookViewId="0">
      <selection activeCell="C2" sqref="C2"/>
    </sheetView>
  </sheetViews>
  <sheetFormatPr defaultRowHeight="15"/>
  <cols>
    <col min="1" max="1" width="25.28515625" bestFit="1" customWidth="1"/>
    <col min="2" max="2" width="11.5703125" bestFit="1" customWidth="1"/>
    <col min="3" max="3" width="18" bestFit="1" customWidth="1"/>
  </cols>
  <sheetData>
    <row r="1" spans="1:3" ht="21">
      <c r="A1" s="85" t="s">
        <v>234</v>
      </c>
      <c r="B1" s="85" t="s">
        <v>233</v>
      </c>
      <c r="C1" s="85" t="s">
        <v>232</v>
      </c>
    </row>
    <row r="2" spans="1:3" ht="21">
      <c r="A2" s="84">
        <v>101</v>
      </c>
      <c r="B2" s="84" t="s">
        <v>231</v>
      </c>
      <c r="C2" s="83">
        <v>1200</v>
      </c>
    </row>
    <row r="3" spans="1:3" ht="21">
      <c r="A3" s="84">
        <v>102</v>
      </c>
      <c r="B3" s="84" t="s">
        <v>230</v>
      </c>
      <c r="C3" s="83">
        <v>1500</v>
      </c>
    </row>
    <row r="4" spans="1:3" ht="21">
      <c r="A4" s="84">
        <v>103</v>
      </c>
      <c r="B4" s="84" t="s">
        <v>229</v>
      </c>
      <c r="C4" s="83">
        <v>2450</v>
      </c>
    </row>
    <row r="5" spans="1:3" ht="21">
      <c r="A5" s="84">
        <v>104</v>
      </c>
      <c r="B5" s="84" t="s">
        <v>228</v>
      </c>
      <c r="C5" s="83">
        <v>1895</v>
      </c>
    </row>
    <row r="6" spans="1:3" ht="21">
      <c r="A6" s="84">
        <v>105</v>
      </c>
      <c r="B6" s="84" t="s">
        <v>227</v>
      </c>
      <c r="C6" s="83">
        <v>995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B7B6C-4B15-44F9-B1CB-4C31C59F84DE}">
  <dimension ref="A2:E6"/>
  <sheetViews>
    <sheetView workbookViewId="0">
      <selection activeCell="C6" sqref="C6"/>
    </sheetView>
  </sheetViews>
  <sheetFormatPr defaultRowHeight="15"/>
  <cols>
    <col min="1" max="1" width="25.28515625" bestFit="1" customWidth="1"/>
    <col min="3" max="3" width="15.42578125" customWidth="1"/>
    <col min="5" max="5" width="15.5703125" customWidth="1"/>
  </cols>
  <sheetData>
    <row r="2" spans="1:5" ht="21">
      <c r="A2" s="86" t="s">
        <v>234</v>
      </c>
      <c r="B2" s="86"/>
      <c r="C2" s="86" t="s">
        <v>233</v>
      </c>
      <c r="D2" s="86"/>
      <c r="E2" s="86"/>
    </row>
    <row r="3" spans="1:5" ht="21">
      <c r="B3" s="86"/>
    </row>
    <row r="4" spans="1:5" ht="21">
      <c r="A4" s="86"/>
      <c r="B4" s="86"/>
      <c r="C4" s="86"/>
      <c r="D4" s="86"/>
      <c r="E4" s="86"/>
    </row>
    <row r="5" spans="1:5" ht="21">
      <c r="A5" s="86"/>
      <c r="B5" s="86"/>
      <c r="C5" s="86" t="s">
        <v>232</v>
      </c>
      <c r="D5" s="86"/>
      <c r="E5" s="86"/>
    </row>
    <row r="6" spans="1:5" ht="21">
      <c r="A6" s="86"/>
      <c r="B6" s="86"/>
      <c r="D6" s="86"/>
      <c r="E6" s="86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25</vt:i4>
      </vt:variant>
    </vt:vector>
  </HeadingPairs>
  <TitlesOfParts>
    <vt:vector size="25" baseType="lpstr">
      <vt:lpstr>01_Área de Menu</vt:lpstr>
      <vt:lpstr>01-1_Séries</vt:lpstr>
      <vt:lpstr>02_Tabela_Vendas</vt:lpstr>
      <vt:lpstr>02_1Formatação CondicionaLinha</vt:lpstr>
      <vt:lpstr>02-1_Estúdio Fotográfic</vt:lpstr>
      <vt:lpstr>02-2_Referência</vt:lpstr>
      <vt:lpstr>03_Boletim</vt:lpstr>
      <vt:lpstr>03-1_Extrato Bancário</vt:lpstr>
      <vt:lpstr>03-2_Salários</vt:lpstr>
      <vt:lpstr>03-3_salários</vt:lpstr>
      <vt:lpstr>03-3_Future Computer</vt:lpstr>
      <vt:lpstr>03-4_Somase+Cont.se</vt:lpstr>
      <vt:lpstr>03-5_SomaSes+médiases</vt:lpstr>
      <vt:lpstr>04_Funções Contagem</vt:lpstr>
      <vt:lpstr>04_0Frequencia</vt:lpstr>
      <vt:lpstr>04-1_Cont.ses</vt:lpstr>
      <vt:lpstr>05_Validacao_Cargo</vt:lpstr>
      <vt:lpstr>06_Condicional_Media</vt:lpstr>
      <vt:lpstr>07_Planejamento</vt:lpstr>
      <vt:lpstr>08_Folha de Pagamento</vt:lpstr>
      <vt:lpstr>09_Proc V</vt:lpstr>
      <vt:lpstr>10_Proc H</vt:lpstr>
      <vt:lpstr>11_ProcV e ProcH</vt:lpstr>
      <vt:lpstr>12_Funcionários</vt:lpstr>
      <vt:lpstr>12_1ProcV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ViniciusTessele</cp:lastModifiedBy>
  <dcterms:created xsi:type="dcterms:W3CDTF">2025-07-16T23:42:58Z</dcterms:created>
  <dcterms:modified xsi:type="dcterms:W3CDTF">2025-07-17T02:19:09Z</dcterms:modified>
</cp:coreProperties>
</file>