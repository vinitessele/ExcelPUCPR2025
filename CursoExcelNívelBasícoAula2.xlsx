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VNT - Sistemas\Curso Excel Puc 2022\"/>
    </mc:Choice>
  </mc:AlternateContent>
  <xr:revisionPtr revIDLastSave="0" documentId="13_ncr:1_{0DB450BF-CD5C-4359-BD6F-E86D87EDF154}" xr6:coauthVersionLast="47" xr6:coauthVersionMax="47" xr10:uidLastSave="{00000000-0000-0000-0000-000000000000}"/>
  <bookViews>
    <workbookView xWindow="-108" yWindow="-108" windowWidth="23256" windowHeight="12456" firstSheet="10" activeTab="18" xr2:uid="{605DF2BF-276D-48A0-BE76-C09545DFF1E0}"/>
  </bookViews>
  <sheets>
    <sheet name="Funcionalidades Básicas" sheetId="1" r:id="rId1"/>
    <sheet name="Funionalidades Básicas II" sheetId="15" r:id="rId2"/>
    <sheet name="ProcV e ProcH" sheetId="11" r:id="rId3"/>
    <sheet name="Base De dados" sheetId="17" r:id="rId4"/>
    <sheet name="Revisão I" sheetId="16" r:id="rId5"/>
    <sheet name="Revisão II" sheetId="2" r:id="rId6"/>
    <sheet name="Revisão III" sheetId="9" r:id="rId7"/>
    <sheet name="Revisão IV" sheetId="19" r:id="rId8"/>
    <sheet name="Exercício 2" sheetId="3" r:id="rId9"/>
    <sheet name="Exercício 3" sheetId="4" r:id="rId10"/>
    <sheet name="Exercício 4" sheetId="5" r:id="rId11"/>
    <sheet name="Exercício 5" sheetId="6" r:id="rId12"/>
    <sheet name="Exercícios 6" sheetId="7" r:id="rId13"/>
    <sheet name="Exercício 7" sheetId="18" r:id="rId14"/>
    <sheet name="Produto" sheetId="21" r:id="rId15"/>
    <sheet name="Cliente" sheetId="22" r:id="rId16"/>
    <sheet name="Exercício 8" sheetId="12" r:id="rId17"/>
    <sheet name="Exercício 9" sheetId="14" r:id="rId18"/>
    <sheet name="Exercício 10" sheetId="20" r:id="rId19"/>
  </sheets>
  <externalReferences>
    <externalReference r:id="rId20"/>
  </externalReferences>
  <definedNames>
    <definedName name="cod_cliente">'[1]Cadastro Clientes'!$B$4:$B$20</definedName>
    <definedName name="codigo">'ProcV e ProcH'!$C$2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1" l="1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J35" i="15"/>
  <c r="F35" i="15"/>
  <c r="F34" i="15"/>
  <c r="F33" i="15"/>
  <c r="F32" i="15"/>
  <c r="F31" i="15"/>
  <c r="F30" i="15"/>
  <c r="F29" i="15"/>
  <c r="F28" i="15"/>
  <c r="F27" i="15"/>
  <c r="F26" i="15"/>
  <c r="F7" i="11" l="1"/>
  <c r="G7" i="11"/>
  <c r="L20" i="15" l="1"/>
  <c r="K20" i="15"/>
  <c r="K18" i="15"/>
  <c r="K16" i="15"/>
  <c r="E19" i="15"/>
  <c r="H16" i="15"/>
  <c r="E16" i="15"/>
  <c r="B16" i="15"/>
  <c r="D11" i="1" l="1"/>
  <c r="H4" i="1" l="1"/>
  <c r="H3" i="1"/>
  <c r="D2" i="1" l="1"/>
  <c r="C2" i="1"/>
  <c r="B8" i="1"/>
  <c r="D7" i="1"/>
  <c r="D8" i="1" s="1"/>
  <c r="B6" i="1"/>
  <c r="D5" i="1"/>
  <c r="D6" i="1" s="1"/>
  <c r="B4" i="1"/>
  <c r="D3" i="1"/>
  <c r="D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de Paula Fernandes Sena</author>
    <author>Usuário do Windows</author>
    <author>Vinicius</author>
  </authors>
  <commentList>
    <comment ref="F7" authorId="0" shapeId="0" xr:uid="{44F06497-E132-4FF2-8FC0-5C4CE7C41F6F}">
      <text>
        <r>
          <rPr>
            <sz val="9"/>
            <color indexed="81"/>
            <rFont val="Tahoma"/>
            <family val="2"/>
          </rPr>
          <t>O código será a chave de pesquisa para mostrar o NOME nesta célula</t>
        </r>
      </text>
    </comment>
    <comment ref="G7" authorId="0" shapeId="0" xr:uid="{B2C4E983-980E-43F5-A8D5-447D228E2637}">
      <text>
        <r>
          <rPr>
            <sz val="9"/>
            <color indexed="81"/>
            <rFont val="Tahoma"/>
            <family val="2"/>
          </rPr>
          <t>O código será a chave de pesquisa para mostrar o VALOR nesta célula</t>
        </r>
      </text>
    </comment>
    <comment ref="R8" authorId="1" shapeId="0" xr:uid="{C6E7DFFA-D372-48AA-A339-E7F9BAD00AFC}">
      <text>
        <r>
          <rPr>
            <b/>
            <sz val="9"/>
            <color indexed="81"/>
            <rFont val="Tahoma"/>
            <family val="2"/>
          </rPr>
          <t>Código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2" shapeId="0" xr:uid="{3F6532DF-3FC5-44B6-BE16-9605FA351F84}">
      <text>
        <r>
          <rPr>
            <b/>
            <sz val="9"/>
            <color indexed="81"/>
            <rFont val="Segoe UI"/>
            <charset val="1"/>
          </rPr>
          <t>Vinicius: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<sst xmlns="http://schemas.openxmlformats.org/spreadsheetml/2006/main" count="1003" uniqueCount="512">
  <si>
    <t>A</t>
  </si>
  <si>
    <t>B</t>
  </si>
  <si>
    <t>C</t>
  </si>
  <si>
    <t>D</t>
  </si>
  <si>
    <t>Maria</t>
  </si>
  <si>
    <t>Código</t>
  </si>
  <si>
    <t>Produto</t>
  </si>
  <si>
    <t>Resultado</t>
  </si>
  <si>
    <t>Hora==&gt;</t>
  </si>
  <si>
    <t>Dia==&gt;</t>
  </si>
  <si>
    <t>Minuto ==&gt;</t>
  </si>
  <si>
    <t>Mês ==&gt;</t>
  </si>
  <si>
    <t>Segundo==&gt;</t>
  </si>
  <si>
    <t>Ano==&gt;</t>
  </si>
  <si>
    <t>Porto Alegre</t>
  </si>
  <si>
    <t>Trabalhando do Datas</t>
  </si>
  <si>
    <t>Preços de Automóveis</t>
  </si>
  <si>
    <t>Modelo</t>
  </si>
  <si>
    <t>Categoria</t>
  </si>
  <si>
    <t>Marca</t>
  </si>
  <si>
    <t>Preço (R$)</t>
  </si>
  <si>
    <t>Astra</t>
  </si>
  <si>
    <t>Sedan</t>
  </si>
  <si>
    <t>GM</t>
  </si>
  <si>
    <t>Blazer</t>
  </si>
  <si>
    <t>Pick up</t>
  </si>
  <si>
    <t>Corsa Wind</t>
  </si>
  <si>
    <t>Econômico</t>
  </si>
  <si>
    <t>Courier</t>
  </si>
  <si>
    <t>Furgão</t>
  </si>
  <si>
    <t>Ford</t>
  </si>
  <si>
    <t>Escort</t>
  </si>
  <si>
    <t>Fiesta</t>
  </si>
  <si>
    <t>Fiorino</t>
  </si>
  <si>
    <t>Fiat</t>
  </si>
  <si>
    <t>Gol 1000</t>
  </si>
  <si>
    <t>VW</t>
  </si>
  <si>
    <t>KA</t>
  </si>
  <si>
    <t>Kombi Furgão</t>
  </si>
  <si>
    <t>Marea</t>
  </si>
  <si>
    <t>Marea Weekend</t>
  </si>
  <si>
    <t>Perua</t>
  </si>
  <si>
    <t>Palio</t>
  </si>
  <si>
    <t>Parati</t>
  </si>
  <si>
    <t>Ranger</t>
  </si>
  <si>
    <t>S10</t>
  </si>
  <si>
    <t>Vectra</t>
  </si>
  <si>
    <t>Nome</t>
  </si>
  <si>
    <t>Endereço</t>
  </si>
  <si>
    <t>Cidade</t>
  </si>
  <si>
    <t>UF</t>
  </si>
  <si>
    <t>CEP</t>
  </si>
  <si>
    <t>Telefone</t>
  </si>
  <si>
    <t>SP</t>
  </si>
  <si>
    <t>RJ</t>
  </si>
  <si>
    <t>MG</t>
  </si>
  <si>
    <t>BA</t>
  </si>
  <si>
    <t>RS</t>
  </si>
  <si>
    <t>Pedro</t>
  </si>
  <si>
    <t>Marcos</t>
  </si>
  <si>
    <t>Jessica</t>
  </si>
  <si>
    <t>Contribuição</t>
  </si>
  <si>
    <t>Paulo</t>
  </si>
  <si>
    <t xml:space="preserve"> =CONT.NÚM(intervalo)</t>
  </si>
  <si>
    <t>Ana</t>
  </si>
  <si>
    <t>Quantas pessoas contribuiram para o evento?</t>
  </si>
  <si>
    <t>Osmar</t>
  </si>
  <si>
    <t>Rita</t>
  </si>
  <si>
    <t xml:space="preserve"> =CONTAR.VAZIO(intervalor)</t>
  </si>
  <si>
    <t>Kátia</t>
  </si>
  <si>
    <t>Quantas pessoas NÃO contribuiram para o evento?</t>
  </si>
  <si>
    <t>Hugo</t>
  </si>
  <si>
    <t>Antônio</t>
  </si>
  <si>
    <t xml:space="preserve"> =CONT.VALORES(intervalo)</t>
  </si>
  <si>
    <t>João</t>
  </si>
  <si>
    <t>Total de pessoas listadas</t>
  </si>
  <si>
    <t>Tadeu</t>
  </si>
  <si>
    <t>Sônia</t>
  </si>
  <si>
    <t>Renata</t>
  </si>
  <si>
    <t>Fernanda</t>
  </si>
  <si>
    <t>Dados</t>
  </si>
  <si>
    <t>maçãs</t>
  </si>
  <si>
    <t>laranjas</t>
  </si>
  <si>
    <t>pêssegos</t>
  </si>
  <si>
    <t>Cont.Se</t>
  </si>
  <si>
    <t>Jogador</t>
  </si>
  <si>
    <t>Cestas do Jogo</t>
  </si>
  <si>
    <t>Julio</t>
  </si>
  <si>
    <t>Anderson</t>
  </si>
  <si>
    <t>Eduardo</t>
  </si>
  <si>
    <t>1° Temporada</t>
  </si>
  <si>
    <t>2° Temporada</t>
  </si>
  <si>
    <t>3° Temporada</t>
  </si>
  <si>
    <t>4° Temporada</t>
  </si>
  <si>
    <t xml:space="preserve"> =somaSe</t>
  </si>
  <si>
    <t xml:space="preserve"> =Cont.se</t>
  </si>
  <si>
    <t>Matéria</t>
  </si>
  <si>
    <t>Nota</t>
  </si>
  <si>
    <t>Presença</t>
  </si>
  <si>
    <t>Portugues</t>
  </si>
  <si>
    <t>Matemática</t>
  </si>
  <si>
    <t>História</t>
  </si>
  <si>
    <t>Geografia</t>
  </si>
  <si>
    <t>Inglês</t>
  </si>
  <si>
    <t>Se a NOTA for MAIOR OU IGUAL A 7;  e a PRESENÇA for MAIOR OU IGUAL A 60%; 
o aluno está "Aprovado" caso contrário, o aluno está "Reprovado"</t>
  </si>
  <si>
    <t>Controle de Adiantamentos</t>
  </si>
  <si>
    <t>Funcionário</t>
  </si>
  <si>
    <t>Adiantamento</t>
  </si>
  <si>
    <t>Total Geral</t>
  </si>
  <si>
    <t>Guilherme</t>
  </si>
  <si>
    <t>Jorge</t>
  </si>
  <si>
    <t xml:space="preserve">Total </t>
  </si>
  <si>
    <t>Total geral: use a função SOMASE</t>
  </si>
  <si>
    <t>Controle de Despesas</t>
  </si>
  <si>
    <t>Despesa</t>
  </si>
  <si>
    <t>Valor</t>
  </si>
  <si>
    <t>Descrição</t>
  </si>
  <si>
    <t>Valor dos Itens</t>
  </si>
  <si>
    <t>Água</t>
  </si>
  <si>
    <t>Luz</t>
  </si>
  <si>
    <t>Aluguel</t>
  </si>
  <si>
    <t>Maior Despesa</t>
  </si>
  <si>
    <t>Menor Despesa</t>
  </si>
  <si>
    <t>Média das Despesas</t>
  </si>
  <si>
    <t>Soma das Despesas</t>
  </si>
  <si>
    <t>Calcule:</t>
  </si>
  <si>
    <t>Valor dos itens: função SOMASE</t>
  </si>
  <si>
    <t>Maior despesa: função MÁXIMO</t>
  </si>
  <si>
    <t>Menor despesa: função MÍNIMO</t>
  </si>
  <si>
    <t>Médias das despesas: função MÉDIA</t>
  </si>
  <si>
    <t>Soma das despesas: função SOMA</t>
  </si>
  <si>
    <t>Soma dos positivos</t>
  </si>
  <si>
    <t>Valor Total</t>
  </si>
  <si>
    <t>PR</t>
  </si>
  <si>
    <t>SC</t>
  </si>
  <si>
    <t>Data</t>
  </si>
  <si>
    <t>Condição</t>
  </si>
  <si>
    <t>Condição de pagamento</t>
  </si>
  <si>
    <t>30 Dias</t>
  </si>
  <si>
    <t>7 Dias</t>
  </si>
  <si>
    <t>à Vista</t>
  </si>
  <si>
    <t>à vista</t>
  </si>
  <si>
    <t>Média por estado</t>
  </si>
  <si>
    <t>Quantidade</t>
  </si>
  <si>
    <t>EXTRATO BANCÁRIO</t>
  </si>
  <si>
    <t>DATA</t>
  </si>
  <si>
    <t>DOCUMENTO</t>
  </si>
  <si>
    <t>MONTANTE</t>
  </si>
  <si>
    <t>DÉBITO OU CRÉDITO</t>
  </si>
  <si>
    <t>SALDO</t>
  </si>
  <si>
    <t>CH. 345</t>
  </si>
  <si>
    <t>DEPOSITO</t>
  </si>
  <si>
    <t>ATM -1</t>
  </si>
  <si>
    <t>CH 346</t>
  </si>
  <si>
    <t>TRANSF.</t>
  </si>
  <si>
    <t>ATM -2</t>
  </si>
  <si>
    <t>CH. 347</t>
  </si>
  <si>
    <t>Bairro</t>
  </si>
  <si>
    <t>Estado</t>
  </si>
  <si>
    <t>Rodovia Anhanguera, km 180</t>
  </si>
  <si>
    <t>Centro</t>
  </si>
  <si>
    <t>Leme</t>
  </si>
  <si>
    <t>R. Antônio Castro, 362</t>
  </si>
  <si>
    <t>São Benedito</t>
  </si>
  <si>
    <t>Araras</t>
  </si>
  <si>
    <t>Érica</t>
  </si>
  <si>
    <t>R. Tiradentes, 123</t>
  </si>
  <si>
    <t>Salvador</t>
  </si>
  <si>
    <t>Av. Orozimbo Maia, 987</t>
  </si>
  <si>
    <t>Jd. Nova Campinas</t>
  </si>
  <si>
    <t>Campinas</t>
  </si>
  <si>
    <t>Gabriela</t>
  </si>
  <si>
    <t>Rodovia Rio/São Paulo, km 77</t>
  </si>
  <si>
    <t>Praia Grande</t>
  </si>
  <si>
    <t>Ubatuba</t>
  </si>
  <si>
    <t>R. Sergipe, 765</t>
  </si>
  <si>
    <t>Botafogo</t>
  </si>
  <si>
    <t>Roberto</t>
  </si>
  <si>
    <t>Av. Limeira, 98</t>
  </si>
  <si>
    <t>Belvedere</t>
  </si>
  <si>
    <t>Rubens</t>
  </si>
  <si>
    <t>Al. Dos Laranjais, 99</t>
  </si>
  <si>
    <t>Rio de Janeiro</t>
  </si>
  <si>
    <t>R. das Quaresemeiras, 810</t>
  </si>
  <si>
    <t>Vila Cláudia</t>
  </si>
  <si>
    <t>Tatiana</t>
  </si>
  <si>
    <t>R. Minas Gerais, 67</t>
  </si>
  <si>
    <t>Parque Industrial</t>
  </si>
  <si>
    <t>Poços de Caldas</t>
  </si>
  <si>
    <t xml:space="preserve">Cidade </t>
  </si>
  <si>
    <t>Cod. Produto</t>
  </si>
  <si>
    <t>Local Fabricação</t>
  </si>
  <si>
    <t>PROCV</t>
  </si>
  <si>
    <t>Produto 01</t>
  </si>
  <si>
    <t>São Paulo</t>
  </si>
  <si>
    <t>Produto 02</t>
  </si>
  <si>
    <t>São Roque</t>
  </si>
  <si>
    <t>Produto 03</t>
  </si>
  <si>
    <t>Curitiba</t>
  </si>
  <si>
    <t>Produto 04</t>
  </si>
  <si>
    <t>Produto 05</t>
  </si>
  <si>
    <t>Americana</t>
  </si>
  <si>
    <t>Produto 06</t>
  </si>
  <si>
    <t>Valinhos</t>
  </si>
  <si>
    <t>Produto 07</t>
  </si>
  <si>
    <t>Produto 08</t>
  </si>
  <si>
    <t>Tabela Produtos</t>
  </si>
  <si>
    <t>Tabela Alimentos</t>
  </si>
  <si>
    <t>Valor de unitário</t>
  </si>
  <si>
    <t>1 - Banana</t>
  </si>
  <si>
    <t>2 - Maçã</t>
  </si>
  <si>
    <t>3 - Beterraba</t>
  </si>
  <si>
    <t>4 - Rosa</t>
  </si>
  <si>
    <t xml:space="preserve">2 - Maçã </t>
  </si>
  <si>
    <t>Sorteio</t>
  </si>
  <si>
    <t>Nome do Vencedor</t>
  </si>
  <si>
    <t>Classificação</t>
  </si>
  <si>
    <t>Bônus Extra</t>
  </si>
  <si>
    <t>Prêmio Base</t>
  </si>
  <si>
    <t>Prêmio Extra pela Classificação</t>
  </si>
  <si>
    <t>Bônus Extra pela Classificação</t>
  </si>
  <si>
    <t>E</t>
  </si>
  <si>
    <t>F</t>
  </si>
  <si>
    <t>Prêmio Total</t>
  </si>
  <si>
    <t>Prêmio Extra</t>
  </si>
  <si>
    <t>Prêmio</t>
  </si>
  <si>
    <t>Carro 0km</t>
  </si>
  <si>
    <t>Moto</t>
  </si>
  <si>
    <t>Computador</t>
  </si>
  <si>
    <t>Televisor</t>
  </si>
  <si>
    <t>Notebook</t>
  </si>
  <si>
    <t>Relógio</t>
  </si>
  <si>
    <t>Prêmio Extra pela Classificação: Use a função Proch para localizar o Prêmio do vencedor baseado na classificação.</t>
  </si>
  <si>
    <t xml:space="preserve">Bônus Extra pela Classificação: Use a função Procv para localizar o Bônus do vencedor baseado na classificação.
 </t>
  </si>
  <si>
    <t>Prêmio Total: Some o Prêmio base com o Bônus</t>
  </si>
  <si>
    <t>Dia 29/10</t>
  </si>
  <si>
    <t>Dia 30/10</t>
  </si>
  <si>
    <t>Dia 31/10</t>
  </si>
  <si>
    <t>Jaqueta</t>
  </si>
  <si>
    <t>Calça</t>
  </si>
  <si>
    <t>Infantil</t>
  </si>
  <si>
    <t>Tênis</t>
  </si>
  <si>
    <t>Acessório</t>
  </si>
  <si>
    <t>Vestido</t>
  </si>
  <si>
    <t>Total do Dia</t>
  </si>
  <si>
    <t>Calças</t>
  </si>
  <si>
    <t>Idade</t>
  </si>
  <si>
    <t>Sexo</t>
  </si>
  <si>
    <t>Cursos</t>
  </si>
  <si>
    <t>M</t>
  </si>
  <si>
    <t>Excel, Word</t>
  </si>
  <si>
    <t>Flash, Excel</t>
  </si>
  <si>
    <t>Juliana</t>
  </si>
  <si>
    <t>Word</t>
  </si>
  <si>
    <t>Rafael</t>
  </si>
  <si>
    <t>Mirela</t>
  </si>
  <si>
    <t>Java</t>
  </si>
  <si>
    <t>Júlia</t>
  </si>
  <si>
    <t>Adriana</t>
  </si>
  <si>
    <t>Luis</t>
  </si>
  <si>
    <t>Java,Word</t>
  </si>
  <si>
    <t>Igor</t>
  </si>
  <si>
    <t>Larissa</t>
  </si>
  <si>
    <t>Excel</t>
  </si>
  <si>
    <t>Funcionários com menos de 40 anos e cursos de excel</t>
  </si>
  <si>
    <t>Mulheres com Menos de 30 Anos</t>
  </si>
  <si>
    <t>Homens</t>
  </si>
  <si>
    <t>Igual ou menor que 28 anos</t>
  </si>
  <si>
    <t>CONTROLE DE COTAS</t>
  </si>
  <si>
    <t>Valor da Cota:</t>
  </si>
  <si>
    <t>Nome do Cliente</t>
  </si>
  <si>
    <t>Quantidade de Cotas</t>
  </si>
  <si>
    <t>Valor em R$</t>
  </si>
  <si>
    <t>Silvana</t>
  </si>
  <si>
    <t>Cleonice</t>
  </si>
  <si>
    <t>Rogério</t>
  </si>
  <si>
    <t>Cibele</t>
  </si>
  <si>
    <t>Marina</t>
  </si>
  <si>
    <t>Vanessa</t>
  </si>
  <si>
    <t>Ricardo</t>
  </si>
  <si>
    <t>* usar célula para recalcular</t>
  </si>
  <si>
    <t>Tabela de Centro de Custos</t>
  </si>
  <si>
    <t>Tabela Mensal de Custos</t>
  </si>
  <si>
    <t>Valor R$</t>
  </si>
  <si>
    <t>Vendas</t>
  </si>
  <si>
    <t xml:space="preserve"> Correspondência exata!</t>
  </si>
  <si>
    <t>Compras</t>
  </si>
  <si>
    <t>RH</t>
  </si>
  <si>
    <t>Marketing</t>
  </si>
  <si>
    <t>Valor Procurado :</t>
  </si>
  <si>
    <t>Nome Completo:</t>
  </si>
  <si>
    <t>Endereço:</t>
  </si>
  <si>
    <t>Bairro:</t>
  </si>
  <si>
    <t>Cidade:</t>
  </si>
  <si>
    <t>UF:</t>
  </si>
  <si>
    <t>País:</t>
  </si>
  <si>
    <t>Telefone:</t>
  </si>
  <si>
    <t>Valor da Compra:</t>
  </si>
  <si>
    <t>Nome Completo</t>
  </si>
  <si>
    <t>País</t>
  </si>
  <si>
    <t>Valor da Compra</t>
  </si>
  <si>
    <t>Maria Pereira do Nascimento</t>
  </si>
  <si>
    <t>Rua Jair Salvarani, 256</t>
  </si>
  <si>
    <t>Jd. Armenia</t>
  </si>
  <si>
    <t>Brasil</t>
  </si>
  <si>
    <t>Sergio Sampaio</t>
  </si>
  <si>
    <t>Alameda das Laranjeiras, 768</t>
  </si>
  <si>
    <t>Socorro</t>
  </si>
  <si>
    <t>Eduardo Amaral Rodrigues</t>
  </si>
  <si>
    <t>Rua Frei Antonio dos Santos, 351</t>
  </si>
  <si>
    <t>Interlagos</t>
  </si>
  <si>
    <t>Melissa Bonelli Santana</t>
  </si>
  <si>
    <t>Av. Narciso Yague Guimarães, 888</t>
  </si>
  <si>
    <t>Moema</t>
  </si>
  <si>
    <t>Carlos Silva</t>
  </si>
  <si>
    <t>Rua Luís Cerqueira Filho, 544</t>
  </si>
  <si>
    <t>Perdizes</t>
  </si>
  <si>
    <t>Antonia Senna</t>
  </si>
  <si>
    <t>Av. Ricardo Vilela, 1984</t>
  </si>
  <si>
    <t>Jd. Vera Cruz</t>
  </si>
  <si>
    <t>Marcio Ferreira Cardoso</t>
  </si>
  <si>
    <t>Rua São Luís, 62</t>
  </si>
  <si>
    <t>Vl. Madalena</t>
  </si>
  <si>
    <t>Antonia de Souza</t>
  </si>
  <si>
    <t>Rua Francisco Xavier, 2687</t>
  </si>
  <si>
    <t>Santana</t>
  </si>
  <si>
    <t>Tatiana Vergueiro Oliveira</t>
  </si>
  <si>
    <t>Av. Clemente Batista, 1333</t>
  </si>
  <si>
    <t>Tatuapé</t>
  </si>
  <si>
    <t>Melissa Nogueira de Mello</t>
  </si>
  <si>
    <t>Av. Noronha Fernandes, 554</t>
  </si>
  <si>
    <t>Vl. Maria</t>
  </si>
  <si>
    <t>Carlos dos Reis</t>
  </si>
  <si>
    <t>Rua Padre João Calixto, 716</t>
  </si>
  <si>
    <t xml:space="preserve">Alfredo Rossi </t>
  </si>
  <si>
    <t>Rua Santa Rita, 829</t>
  </si>
  <si>
    <t>Belem</t>
  </si>
  <si>
    <t>Leopoldo Augusto Sampaio</t>
  </si>
  <si>
    <t>Av. Frederico Estraube, 928</t>
  </si>
  <si>
    <t>Vl. Oliveira</t>
  </si>
  <si>
    <t>Mara Palhares</t>
  </si>
  <si>
    <t>Av. Catumbi, 687</t>
  </si>
  <si>
    <t>Belenzinho</t>
  </si>
  <si>
    <t>Sandra Cristina de Arantes</t>
  </si>
  <si>
    <t>Alameda Santana, 2341</t>
  </si>
  <si>
    <t>Liberdade</t>
  </si>
  <si>
    <t>Antonia Maria Simões</t>
  </si>
  <si>
    <t>Rua Maristela Carvalho, 23</t>
  </si>
  <si>
    <t>Vl. Carrão</t>
  </si>
  <si>
    <t>Thaysa Martins</t>
  </si>
  <si>
    <t>Av. Francisco Dutra, 555</t>
  </si>
  <si>
    <t>Folha de Pagamento</t>
  </si>
  <si>
    <t>Data de Admissão</t>
  </si>
  <si>
    <t>Cargo</t>
  </si>
  <si>
    <t>Salário Bruto</t>
  </si>
  <si>
    <t>Salário Família</t>
  </si>
  <si>
    <t>Nº de Filhos</t>
  </si>
  <si>
    <t>Salário Total</t>
  </si>
  <si>
    <t>IR</t>
  </si>
  <si>
    <t>INSS</t>
  </si>
  <si>
    <t>Refeição</t>
  </si>
  <si>
    <t>Salário Líquido</t>
  </si>
  <si>
    <t>Luis Carlos da Silva</t>
  </si>
  <si>
    <t>Analista</t>
  </si>
  <si>
    <t>João Jose de Jesus</t>
  </si>
  <si>
    <t>Digitador</t>
  </si>
  <si>
    <t>Claudio Martins</t>
  </si>
  <si>
    <t>Vendedor</t>
  </si>
  <si>
    <t>Jamile Abrahao Kalil</t>
  </si>
  <si>
    <t>Assistente</t>
  </si>
  <si>
    <t>Silvia Maria Barbosa</t>
  </si>
  <si>
    <t>Secretária</t>
  </si>
  <si>
    <t>Maria Aparecida Dias</t>
  </si>
  <si>
    <t>Faxineira</t>
  </si>
  <si>
    <t>Joaquim Augusto</t>
  </si>
  <si>
    <t>Gerente</t>
  </si>
  <si>
    <t>Salário Família:</t>
  </si>
  <si>
    <t>2% do Salário Bruto para cada filho</t>
  </si>
  <si>
    <t>Salário Total:</t>
  </si>
  <si>
    <t>Salário Bruto + Salário Família</t>
  </si>
  <si>
    <t>IR:</t>
  </si>
  <si>
    <t>12% do Salário Total</t>
  </si>
  <si>
    <t>INSS:</t>
  </si>
  <si>
    <t>8,5% do Salário Total</t>
  </si>
  <si>
    <t>Refeição:</t>
  </si>
  <si>
    <t>1,5% do Salário Total</t>
  </si>
  <si>
    <t>Salário Líquido:</t>
  </si>
  <si>
    <t>Salário Total - IR - INSS - Refeição</t>
  </si>
  <si>
    <t>NOME</t>
  </si>
  <si>
    <t>CIDADE</t>
  </si>
  <si>
    <t>SEXO</t>
  </si>
  <si>
    <t>IDADE</t>
  </si>
  <si>
    <t>PLANO.SAUDE</t>
  </si>
  <si>
    <t>ESTADO CIVIL</t>
  </si>
  <si>
    <t>PROFISSAO</t>
  </si>
  <si>
    <t>SALÁRIO</t>
  </si>
  <si>
    <t>ANA</t>
  </si>
  <si>
    <t>TEUTONIA</t>
  </si>
  <si>
    <t>UNIMED</t>
  </si>
  <si>
    <t>SOLTEIRO</t>
  </si>
  <si>
    <t>VENDEDOR</t>
  </si>
  <si>
    <t>MARIA</t>
  </si>
  <si>
    <t>LAJEADO</t>
  </si>
  <si>
    <t>FAMIT</t>
  </si>
  <si>
    <t>CASADO</t>
  </si>
  <si>
    <t>PROFESSOR</t>
  </si>
  <si>
    <t>PEDRO</t>
  </si>
  <si>
    <t>PEDREIRO</t>
  </si>
  <si>
    <t>ANTONIO</t>
  </si>
  <si>
    <t>JOAO</t>
  </si>
  <si>
    <t>MOTORISTA</t>
  </si>
  <si>
    <t>ANITA</t>
  </si>
  <si>
    <t>CONTABILISTA</t>
  </si>
  <si>
    <t>MARIETA</t>
  </si>
  <si>
    <t>CARLOS</t>
  </si>
  <si>
    <t>ESTRELA</t>
  </si>
  <si>
    <t>FERNANDO</t>
  </si>
  <si>
    <t>PATRICIA</t>
  </si>
  <si>
    <t>RESPONDA:</t>
  </si>
  <si>
    <t>1. Total de pessoas, sexo F, de Lajeado</t>
  </si>
  <si>
    <t>2. Total de pessoas, sexo F, de Lajeado, que tenham UNIMED e que são casadas</t>
  </si>
  <si>
    <t>3. Total de pessoas, casadas, sexo M, que ganham acima de 1500</t>
  </si>
  <si>
    <t>4. Soma do salário das pessoas, sexo F, de Lajeado</t>
  </si>
  <si>
    <t>5. Soma do salário das pessoas, Sexo F, de Lajeado, que tenham UNIMED e que são casadas</t>
  </si>
  <si>
    <t>6. Média salarial das pessoas, sexo F, casadas.</t>
  </si>
  <si>
    <t>Qtde</t>
  </si>
  <si>
    <t>Total</t>
  </si>
  <si>
    <t>Abacate</t>
  </si>
  <si>
    <t>maçã</t>
  </si>
  <si>
    <t>melão</t>
  </si>
  <si>
    <t>pera</t>
  </si>
  <si>
    <t>uva</t>
  </si>
  <si>
    <t>QTDE</t>
  </si>
  <si>
    <t>André</t>
  </si>
  <si>
    <t>mamão</t>
  </si>
  <si>
    <t>Uva</t>
  </si>
  <si>
    <t>Luciana</t>
  </si>
  <si>
    <t>Pedido</t>
  </si>
  <si>
    <t>CÓDIGO</t>
  </si>
  <si>
    <t>HORA</t>
  </si>
  <si>
    <t>NRO NOTA</t>
  </si>
  <si>
    <t>RAZÃO SOCIAL</t>
  </si>
  <si>
    <t>Dell</t>
  </si>
  <si>
    <t>ENDEREÇO</t>
  </si>
  <si>
    <t>Rua D. Pedro II, 1450</t>
  </si>
  <si>
    <t>FONE</t>
  </si>
  <si>
    <t>BAIRRO/CIDADE</t>
  </si>
  <si>
    <t>Identificação</t>
  </si>
  <si>
    <t>Quant.</t>
  </si>
  <si>
    <t>R$ Unit</t>
  </si>
  <si>
    <t>R$ Total</t>
  </si>
  <si>
    <t>Pentium IV</t>
  </si>
  <si>
    <t/>
  </si>
  <si>
    <t>Subtotal</t>
  </si>
  <si>
    <t>Imposto</t>
  </si>
  <si>
    <t>Frete</t>
  </si>
  <si>
    <t xml:space="preserve">Código </t>
  </si>
  <si>
    <t>Un.Med</t>
  </si>
  <si>
    <t>2.8 GHZ</t>
  </si>
  <si>
    <t>UN</t>
  </si>
  <si>
    <t>Placa de Rede</t>
  </si>
  <si>
    <t>Gigabit</t>
  </si>
  <si>
    <t>Monitor LCD</t>
  </si>
  <si>
    <t>LCD</t>
  </si>
  <si>
    <t>Impressora Multifuncional HP</t>
  </si>
  <si>
    <t>900C</t>
  </si>
  <si>
    <t>HD Samsung 1 Tera</t>
  </si>
  <si>
    <t>HD</t>
  </si>
  <si>
    <t>Razão Social</t>
  </si>
  <si>
    <t>Fone</t>
  </si>
  <si>
    <t>Esperança</t>
  </si>
  <si>
    <t>12345-678</t>
  </si>
  <si>
    <t>(11) 3844-1234</t>
  </si>
  <si>
    <t>HP do Brasil</t>
  </si>
  <si>
    <t>Av. Botucatu, 56</t>
  </si>
  <si>
    <t>Ideal</t>
  </si>
  <si>
    <t>44444-111</t>
  </si>
  <si>
    <t>(11) 1234-1221</t>
  </si>
  <si>
    <t>MicoSoft</t>
  </si>
  <si>
    <t>R. Maracutaia , 665</t>
  </si>
  <si>
    <t>33333-222</t>
  </si>
  <si>
    <t>(11) 3333-4444</t>
  </si>
  <si>
    <t>Atlantis</t>
  </si>
  <si>
    <t>Av. Carlos Cleto, 123</t>
  </si>
  <si>
    <t>Corsário</t>
  </si>
  <si>
    <t>11111-222</t>
  </si>
  <si>
    <t>(11) 2233-4455</t>
  </si>
  <si>
    <t>Epson</t>
  </si>
  <si>
    <t>R. Bernadeles, 505</t>
  </si>
  <si>
    <t>Anastácia</t>
  </si>
  <si>
    <t>55555-123</t>
  </si>
  <si>
    <t>(11) 2242-4321</t>
  </si>
  <si>
    <t>Função</t>
  </si>
  <si>
    <r>
      <t>N</t>
    </r>
    <r>
      <rPr>
        <sz val="10"/>
        <rFont val="verdana"/>
        <family val="2"/>
      </rPr>
      <t>° Função</t>
    </r>
  </si>
  <si>
    <t>MÉDIA</t>
  </si>
  <si>
    <t>CONTA</t>
  </si>
  <si>
    <t>CONT.VALORES</t>
  </si>
  <si>
    <t>MÁX</t>
  </si>
  <si>
    <t>MÍN</t>
  </si>
  <si>
    <t>SOMA</t>
  </si>
  <si>
    <t xml:space="preserve"> Função SUBTOTAL</t>
  </si>
  <si>
    <t>RELATÓRIO DE VENDAS</t>
  </si>
  <si>
    <t>Local</t>
  </si>
  <si>
    <t>Geovana</t>
  </si>
  <si>
    <t>Sul</t>
  </si>
  <si>
    <t>Leste</t>
  </si>
  <si>
    <t>Oeste</t>
  </si>
  <si>
    <t>Norte</t>
  </si>
  <si>
    <t>Danieli</t>
  </si>
  <si>
    <t>Ana Paula</t>
  </si>
  <si>
    <t>Rafaela</t>
  </si>
  <si>
    <t>Salete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</si>
</sst>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0000\-000"/>
    <numFmt numFmtId="166" formatCode="_(&quot;R$ &quot;* #,##0.00_);_(&quot;R$ &quot;* \(#,##0.00\);_(&quot;R$ &quot;* &quot;-&quot;??_);_(@_)"/>
    <numFmt numFmtId="167" formatCode="dd/mm/yy;@"/>
    <numFmt numFmtId="168" formatCode="00&quot;.&quot;000&quot;.&quot;000&quot;/&quot;0000&quot;-&quot;00"/>
    <numFmt numFmtId="169" formatCode="h:mm;@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9" tint="-0.499984740745262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0"/>
      <name val="Arial"/>
      <family val="2"/>
    </font>
    <font>
      <sz val="11"/>
      <color rgb="FF1E1E1E"/>
      <name val="Segoe UI"/>
      <family val="2"/>
    </font>
    <font>
      <sz val="11"/>
      <color rgb="FF2E3A48"/>
      <name val="Lato"/>
      <family val="2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</font>
    <font>
      <b/>
      <sz val="10"/>
      <color rgb="FF0070C0"/>
      <name val="Arial"/>
      <family val="2"/>
    </font>
    <font>
      <sz val="9"/>
      <color indexed="81"/>
      <name val="Tahom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6"/>
      <color rgb="FF0000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2" tint="-0.499984740745262"/>
      <name val="Calibri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b/>
      <sz val="16"/>
      <color theme="2" tint="-0.499984740745262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indexed="9"/>
      <name val="Microsoft Sans Serif"/>
      <family val="2"/>
    </font>
    <font>
      <b/>
      <sz val="13.2"/>
      <color rgb="FF555555"/>
      <name val="Arial"/>
      <family val="2"/>
    </font>
    <font>
      <sz val="11"/>
      <name val="Microsoft Sans Serif"/>
      <family val="2"/>
    </font>
    <font>
      <b/>
      <i/>
      <sz val="11"/>
      <color rgb="FFFF0000"/>
      <name val="Arial"/>
      <family val="2"/>
    </font>
    <font>
      <b/>
      <sz val="10"/>
      <color rgb="FFFFFFFF"/>
      <name val="Arial"/>
      <family val="2"/>
    </font>
    <font>
      <sz val="10"/>
      <name val="Arial"/>
    </font>
    <font>
      <sz val="11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color indexed="10"/>
      <name val="Verdana"/>
      <family val="2"/>
    </font>
    <font>
      <sz val="14"/>
      <name val="verdana"/>
      <family val="2"/>
    </font>
    <font>
      <sz val="10"/>
      <name val="verdana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7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66" fontId="1" fillId="0" borderId="0" applyFont="0" applyFill="0" applyBorder="0" applyAlignment="0" applyProtection="0"/>
    <xf numFmtId="0" fontId="33" fillId="0" borderId="0"/>
    <xf numFmtId="44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0" fontId="15" fillId="0" borderId="0"/>
  </cellStyleXfs>
  <cellXfs count="2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21" fontId="5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4" fontId="5" fillId="0" borderId="0" xfId="0" applyNumberFormat="1" applyFont="1"/>
    <xf numFmtId="0" fontId="6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0" fillId="2" borderId="0" xfId="0" applyFill="1"/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44" fontId="8" fillId="0" borderId="1" xfId="6" applyFont="1" applyBorder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4" fontId="8" fillId="0" borderId="0" xfId="6" applyFont="1" applyBorder="1"/>
    <xf numFmtId="0" fontId="1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10" xfId="0" applyFont="1" applyBorder="1" applyAlignment="1">
      <alignment horizontal="center"/>
    </xf>
    <xf numFmtId="0" fontId="12" fillId="6" borderId="19" xfId="0" applyFont="1" applyFill="1" applyBorder="1" applyAlignment="1">
      <alignment horizontal="left" vertical="center" wrapText="1" indent="1"/>
    </xf>
    <xf numFmtId="0" fontId="13" fillId="0" borderId="0" xfId="0" applyFont="1"/>
    <xf numFmtId="0" fontId="2" fillId="2" borderId="0" xfId="0" applyFont="1" applyFill="1"/>
    <xf numFmtId="0" fontId="3" fillId="7" borderId="1" xfId="0" applyFont="1" applyFill="1" applyBorder="1" applyAlignment="1">
      <alignment horizontal="center" vertical="center"/>
    </xf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8" borderId="0" xfId="0" applyFill="1"/>
    <xf numFmtId="44" fontId="4" fillId="0" borderId="0" xfId="14" applyFont="1"/>
    <xf numFmtId="0" fontId="3" fillId="0" borderId="1" xfId="0" applyFont="1" applyBorder="1" applyAlignment="1">
      <alignment horizontal="right"/>
    </xf>
    <xf numFmtId="0" fontId="3" fillId="8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0" xfId="0" applyFill="1"/>
    <xf numFmtId="14" fontId="0" fillId="0" borderId="0" xfId="0" applyNumberFormat="1"/>
    <xf numFmtId="44" fontId="0" fillId="0" borderId="0" xfId="1" applyFont="1"/>
    <xf numFmtId="0" fontId="9" fillId="0" borderId="20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/>
    <xf numFmtId="166" fontId="0" fillId="0" borderId="8" xfId="0" applyNumberFormat="1" applyBorder="1"/>
    <xf numFmtId="167" fontId="0" fillId="0" borderId="0" xfId="0" applyNumberFormat="1"/>
    <xf numFmtId="0" fontId="0" fillId="0" borderId="21" xfId="0" applyBorder="1"/>
    <xf numFmtId="166" fontId="0" fillId="0" borderId="21" xfId="0" applyNumberFormat="1" applyBorder="1"/>
    <xf numFmtId="0" fontId="0" fillId="0" borderId="21" xfId="0" applyBorder="1" applyAlignment="1">
      <alignment horizontal="center"/>
    </xf>
    <xf numFmtId="0" fontId="0" fillId="0" borderId="11" xfId="0" applyBorder="1"/>
    <xf numFmtId="166" fontId="0" fillId="0" borderId="11" xfId="0" applyNumberFormat="1" applyBorder="1"/>
    <xf numFmtId="0" fontId="0" fillId="0" borderId="11" xfId="0" applyBorder="1" applyAlignment="1">
      <alignment horizontal="center"/>
    </xf>
    <xf numFmtId="164" fontId="0" fillId="0" borderId="1" xfId="17" applyFont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9" borderId="1" xfId="0" applyFill="1" applyBorder="1"/>
    <xf numFmtId="0" fontId="15" fillId="0" borderId="0" xfId="0" applyFont="1"/>
    <xf numFmtId="0" fontId="15" fillId="0" borderId="9" xfId="0" applyFont="1" applyBorder="1"/>
    <xf numFmtId="0" fontId="15" fillId="0" borderId="17" xfId="0" applyFont="1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11" borderId="1" xfId="0" applyFill="1" applyBorder="1" applyAlignment="1">
      <alignment horizontal="center"/>
    </xf>
    <xf numFmtId="44" fontId="0" fillId="0" borderId="1" xfId="1" applyFont="1" applyBorder="1"/>
    <xf numFmtId="0" fontId="0" fillId="11" borderId="1" xfId="0" applyFill="1" applyBorder="1"/>
    <xf numFmtId="44" fontId="0" fillId="11" borderId="1" xfId="0" applyNumberFormat="1" applyFill="1" applyBorder="1"/>
    <xf numFmtId="0" fontId="18" fillId="0" borderId="0" xfId="0" applyFont="1"/>
    <xf numFmtId="0" fontId="18" fillId="0" borderId="1" xfId="0" applyFont="1" applyBorder="1"/>
    <xf numFmtId="43" fontId="18" fillId="0" borderId="1" xfId="21" applyFont="1" applyBorder="1"/>
    <xf numFmtId="0" fontId="17" fillId="0" borderId="1" xfId="0" applyFont="1" applyBorder="1" applyAlignment="1">
      <alignment horizontal="center" vertical="center" wrapText="1"/>
    </xf>
    <xf numFmtId="43" fontId="18" fillId="0" borderId="1" xfId="0" applyNumberFormat="1" applyFont="1" applyBorder="1"/>
    <xf numFmtId="0" fontId="15" fillId="0" borderId="0" xfId="25"/>
    <xf numFmtId="0" fontId="22" fillId="16" borderId="26" xfId="25" applyFont="1" applyFill="1" applyBorder="1" applyAlignment="1">
      <alignment horizontal="center"/>
    </xf>
    <xf numFmtId="0" fontId="3" fillId="17" borderId="26" xfId="25" applyFont="1" applyFill="1" applyBorder="1" applyAlignment="1">
      <alignment horizontal="center"/>
    </xf>
    <xf numFmtId="0" fontId="3" fillId="18" borderId="26" xfId="25" applyFont="1" applyFill="1" applyBorder="1" applyAlignment="1">
      <alignment horizontal="center"/>
    </xf>
    <xf numFmtId="0" fontId="3" fillId="8" borderId="26" xfId="25" applyFont="1" applyFill="1" applyBorder="1" applyAlignment="1">
      <alignment horizontal="center"/>
    </xf>
    <xf numFmtId="0" fontId="3" fillId="0" borderId="26" xfId="25" applyFont="1" applyBorder="1" applyAlignment="1">
      <alignment horizontal="center"/>
    </xf>
    <xf numFmtId="43" fontId="3" fillId="0" borderId="26" xfId="20" applyFont="1" applyBorder="1" applyAlignment="1">
      <alignment horizontal="center"/>
    </xf>
    <xf numFmtId="0" fontId="23" fillId="0" borderId="0" xfId="25" applyFont="1"/>
    <xf numFmtId="0" fontId="15" fillId="0" borderId="0" xfId="25" applyAlignment="1">
      <alignment horizontal="center"/>
    </xf>
    <xf numFmtId="0" fontId="3" fillId="0" borderId="0" xfId="25" applyFont="1" applyAlignment="1">
      <alignment horizontal="center"/>
    </xf>
    <xf numFmtId="0" fontId="11" fillId="0" borderId="0" xfId="25" applyFont="1" applyAlignment="1">
      <alignment horizontal="center"/>
    </xf>
    <xf numFmtId="0" fontId="11" fillId="0" borderId="0" xfId="25" applyFont="1" applyAlignment="1">
      <alignment horizontal="left"/>
    </xf>
    <xf numFmtId="0" fontId="27" fillId="0" borderId="0" xfId="29" applyFont="1" applyAlignment="1">
      <alignment horizontal="center"/>
    </xf>
    <xf numFmtId="1" fontId="19" fillId="12" borderId="10" xfId="29" applyNumberFormat="1" applyFont="1" applyFill="1" applyBorder="1" applyAlignment="1">
      <alignment horizontal="center"/>
    </xf>
    <xf numFmtId="0" fontId="19" fillId="0" borderId="0" xfId="29" applyFont="1" applyAlignment="1">
      <alignment horizontal="center"/>
    </xf>
    <xf numFmtId="14" fontId="19" fillId="0" borderId="0" xfId="29" applyNumberFormat="1" applyFont="1" applyAlignment="1">
      <alignment horizontal="center"/>
    </xf>
    <xf numFmtId="0" fontId="28" fillId="0" borderId="24" xfId="29" applyFont="1" applyBorder="1" applyAlignment="1">
      <alignment horizontal="left"/>
    </xf>
    <xf numFmtId="0" fontId="19" fillId="0" borderId="22" xfId="29" applyFont="1" applyBorder="1" applyAlignment="1">
      <alignment horizontal="center"/>
    </xf>
    <xf numFmtId="0" fontId="28" fillId="0" borderId="27" xfId="29" applyFont="1" applyBorder="1" applyAlignment="1">
      <alignment horizontal="left"/>
    </xf>
    <xf numFmtId="0" fontId="28" fillId="0" borderId="23" xfId="29" applyFont="1" applyBorder="1" applyAlignment="1">
      <alignment horizontal="left"/>
    </xf>
    <xf numFmtId="0" fontId="30" fillId="0" borderId="28" xfId="0" applyFont="1" applyBorder="1"/>
    <xf numFmtId="0" fontId="30" fillId="0" borderId="29" xfId="0" applyFont="1" applyBorder="1"/>
    <xf numFmtId="0" fontId="31" fillId="19" borderId="30" xfId="0" applyFont="1" applyFill="1" applyBorder="1"/>
    <xf numFmtId="14" fontId="31" fillId="19" borderId="30" xfId="0" applyNumberFormat="1" applyFont="1" applyFill="1" applyBorder="1"/>
    <xf numFmtId="44" fontId="31" fillId="19" borderId="31" xfId="1" applyFont="1" applyFill="1" applyBorder="1"/>
    <xf numFmtId="0" fontId="31" fillId="0" borderId="28" xfId="0" applyFont="1" applyBorder="1"/>
    <xf numFmtId="14" fontId="31" fillId="0" borderId="28" xfId="0" applyNumberFormat="1" applyFont="1" applyBorder="1"/>
    <xf numFmtId="44" fontId="31" fillId="0" borderId="29" xfId="1" applyFont="1" applyBorder="1"/>
    <xf numFmtId="0" fontId="31" fillId="19" borderId="28" xfId="0" applyFont="1" applyFill="1" applyBorder="1"/>
    <xf numFmtId="14" fontId="31" fillId="19" borderId="28" xfId="0" applyNumberFormat="1" applyFont="1" applyFill="1" applyBorder="1"/>
    <xf numFmtId="44" fontId="31" fillId="19" borderId="29" xfId="1" applyFont="1" applyFill="1" applyBorder="1"/>
    <xf numFmtId="0" fontId="31" fillId="19" borderId="32" xfId="0" applyFont="1" applyFill="1" applyBorder="1"/>
    <xf numFmtId="44" fontId="31" fillId="19" borderId="33" xfId="1" applyFont="1" applyFill="1" applyBorder="1"/>
    <xf numFmtId="0" fontId="36" fillId="13" borderId="0" xfId="0" applyFont="1" applyFill="1"/>
    <xf numFmtId="0" fontId="0" fillId="0" borderId="26" xfId="0" applyBorder="1"/>
    <xf numFmtId="0" fontId="32" fillId="0" borderId="34" xfId="0" applyFont="1" applyBorder="1" applyAlignment="1">
      <alignment horizontal="center" vertical="center" wrapText="1"/>
    </xf>
    <xf numFmtId="0" fontId="0" fillId="0" borderId="34" xfId="0" applyBorder="1"/>
    <xf numFmtId="14" fontId="0" fillId="0" borderId="34" xfId="0" applyNumberFormat="1" applyBorder="1"/>
    <xf numFmtId="166" fontId="0" fillId="0" borderId="34" xfId="30" applyFont="1" applyBorder="1"/>
    <xf numFmtId="0" fontId="0" fillId="12" borderId="26" xfId="0" applyFill="1" applyBorder="1"/>
    <xf numFmtId="166" fontId="0" fillId="12" borderId="34" xfId="30" applyFont="1" applyFill="1" applyBorder="1"/>
    <xf numFmtId="0" fontId="37" fillId="20" borderId="26" xfId="0" applyFont="1" applyFill="1" applyBorder="1" applyAlignment="1">
      <alignment horizontal="center" vertical="center"/>
    </xf>
    <xf numFmtId="0" fontId="38" fillId="0" borderId="0" xfId="0" applyFont="1" applyAlignment="1">
      <alignment horizontal="left" indent="1"/>
    </xf>
    <xf numFmtId="0" fontId="39" fillId="0" borderId="26" xfId="0" applyFont="1" applyBorder="1"/>
    <xf numFmtId="0" fontId="39" fillId="0" borderId="26" xfId="0" applyFont="1" applyBorder="1" applyAlignment="1">
      <alignment horizontal="center"/>
    </xf>
    <xf numFmtId="44" fontId="39" fillId="0" borderId="26" xfId="1" applyFont="1" applyBorder="1"/>
    <xf numFmtId="0" fontId="40" fillId="0" borderId="0" xfId="0" applyFont="1" applyAlignment="1">
      <alignment horizontal="left" indent="2"/>
    </xf>
    <xf numFmtId="0" fontId="40" fillId="0" borderId="0" xfId="0" applyFont="1" applyAlignment="1">
      <alignment horizontal="left" indent="3"/>
    </xf>
    <xf numFmtId="0" fontId="37" fillId="20" borderId="20" xfId="0" applyFont="1" applyFill="1" applyBorder="1" applyAlignment="1">
      <alignment horizontal="center" vertical="center"/>
    </xf>
    <xf numFmtId="0" fontId="39" fillId="0" borderId="0" xfId="0" applyFont="1"/>
    <xf numFmtId="0" fontId="42" fillId="5" borderId="0" xfId="34" applyFill="1"/>
    <xf numFmtId="4" fontId="42" fillId="5" borderId="0" xfId="34" applyNumberFormat="1" applyFill="1"/>
    <xf numFmtId="0" fontId="42" fillId="5" borderId="13" xfId="34" applyFill="1" applyBorder="1"/>
    <xf numFmtId="0" fontId="42" fillId="5" borderId="14" xfId="34" applyFill="1" applyBorder="1"/>
    <xf numFmtId="4" fontId="42" fillId="5" borderId="14" xfId="34" applyNumberFormat="1" applyFill="1" applyBorder="1"/>
    <xf numFmtId="0" fontId="42" fillId="5" borderId="9" xfId="34" applyFill="1" applyBorder="1"/>
    <xf numFmtId="0" fontId="42" fillId="5" borderId="15" xfId="34" applyFill="1" applyBorder="1"/>
    <xf numFmtId="0" fontId="42" fillId="5" borderId="16" xfId="34" applyFill="1" applyBorder="1"/>
    <xf numFmtId="4" fontId="42" fillId="5" borderId="16" xfId="34" applyNumberFormat="1" applyFill="1" applyBorder="1"/>
    <xf numFmtId="0" fontId="42" fillId="5" borderId="17" xfId="34" applyFill="1" applyBorder="1"/>
    <xf numFmtId="0" fontId="42" fillId="5" borderId="18" xfId="34" applyFill="1" applyBorder="1"/>
    <xf numFmtId="4" fontId="42" fillId="5" borderId="18" xfId="34" applyNumberFormat="1" applyFill="1" applyBorder="1"/>
    <xf numFmtId="0" fontId="42" fillId="5" borderId="12" xfId="34" applyFill="1" applyBorder="1"/>
    <xf numFmtId="168" fontId="44" fillId="0" borderId="26" xfId="34" applyNumberFormat="1" applyFont="1" applyBorder="1" applyAlignment="1">
      <alignment horizontal="center"/>
    </xf>
    <xf numFmtId="1" fontId="44" fillId="0" borderId="26" xfId="34" applyNumberFormat="1" applyFont="1" applyBorder="1" applyAlignment="1">
      <alignment horizontal="center"/>
    </xf>
    <xf numFmtId="0" fontId="44" fillId="0" borderId="26" xfId="34" applyFont="1" applyBorder="1"/>
    <xf numFmtId="4" fontId="44" fillId="0" borderId="26" xfId="34" applyNumberFormat="1" applyFont="1" applyBorder="1"/>
    <xf numFmtId="2" fontId="44" fillId="0" borderId="26" xfId="34" applyNumberFormat="1" applyFont="1" applyBorder="1"/>
    <xf numFmtId="0" fontId="43" fillId="0" borderId="26" xfId="34" applyFont="1" applyBorder="1"/>
    <xf numFmtId="10" fontId="43" fillId="21" borderId="26" xfId="35" applyNumberFormat="1" applyFont="1" applyFill="1" applyBorder="1"/>
    <xf numFmtId="2" fontId="43" fillId="0" borderId="26" xfId="34" applyNumberFormat="1" applyFont="1" applyBorder="1"/>
    <xf numFmtId="4" fontId="43" fillId="5" borderId="0" xfId="34" applyNumberFormat="1" applyFont="1" applyFill="1"/>
    <xf numFmtId="0" fontId="43" fillId="5" borderId="0" xfId="34" applyFont="1" applyFill="1"/>
    <xf numFmtId="4" fontId="43" fillId="0" borderId="37" xfId="34" applyNumberFormat="1" applyFont="1" applyBorder="1"/>
    <xf numFmtId="0" fontId="43" fillId="0" borderId="10" xfId="34" applyFont="1" applyBorder="1"/>
    <xf numFmtId="0" fontId="34" fillId="0" borderId="26" xfId="34" applyFont="1" applyBorder="1"/>
    <xf numFmtId="4" fontId="34" fillId="5" borderId="0" xfId="34" applyNumberFormat="1" applyFont="1" applyFill="1"/>
    <xf numFmtId="0" fontId="34" fillId="0" borderId="38" xfId="34" applyFont="1" applyBorder="1"/>
    <xf numFmtId="168" fontId="44" fillId="0" borderId="37" xfId="34" applyNumberFormat="1" applyFont="1" applyBorder="1" applyAlignment="1">
      <alignment horizontal="left"/>
    </xf>
    <xf numFmtId="0" fontId="34" fillId="21" borderId="10" xfId="34" applyFont="1" applyFill="1" applyBorder="1" applyAlignment="1">
      <alignment vertical="justify"/>
    </xf>
    <xf numFmtId="0" fontId="34" fillId="21" borderId="25" xfId="34" applyFont="1" applyFill="1" applyBorder="1" applyAlignment="1">
      <alignment vertical="center" wrapText="1"/>
    </xf>
    <xf numFmtId="0" fontId="34" fillId="21" borderId="26" xfId="34" applyFont="1" applyFill="1" applyBorder="1" applyAlignment="1">
      <alignment vertical="center" wrapText="1"/>
    </xf>
    <xf numFmtId="0" fontId="34" fillId="21" borderId="36" xfId="34" applyFont="1" applyFill="1" applyBorder="1" applyAlignment="1">
      <alignment horizontal="center" vertical="center"/>
    </xf>
    <xf numFmtId="4" fontId="34" fillId="21" borderId="26" xfId="34" applyNumberFormat="1" applyFont="1" applyFill="1" applyBorder="1" applyAlignment="1">
      <alignment horizontal="center" vertical="center"/>
    </xf>
    <xf numFmtId="14" fontId="44" fillId="0" borderId="39" xfId="34" applyNumberFormat="1" applyFont="1" applyBorder="1"/>
    <xf numFmtId="169" fontId="44" fillId="0" borderId="26" xfId="34" applyNumberFormat="1" applyFont="1" applyBorder="1" applyAlignment="1">
      <alignment horizontal="center"/>
    </xf>
    <xf numFmtId="0" fontId="44" fillId="12" borderId="26" xfId="34" applyFont="1" applyFill="1" applyBorder="1" applyProtection="1">
      <protection locked="0"/>
    </xf>
    <xf numFmtId="0" fontId="34" fillId="21" borderId="26" xfId="34" applyFont="1" applyFill="1" applyBorder="1" applyAlignment="1">
      <alignment horizontal="center" vertical="center"/>
    </xf>
    <xf numFmtId="3" fontId="44" fillId="12" borderId="26" xfId="34" applyNumberFormat="1" applyFont="1" applyFill="1" applyBorder="1" applyProtection="1">
      <protection locked="0"/>
    </xf>
    <xf numFmtId="0" fontId="15" fillId="0" borderId="35" xfId="34" applyFont="1" applyBorder="1" applyProtection="1">
      <protection hidden="1"/>
    </xf>
    <xf numFmtId="0" fontId="15" fillId="0" borderId="40" xfId="34" applyFont="1" applyBorder="1" applyProtection="1">
      <protection hidden="1"/>
    </xf>
    <xf numFmtId="0" fontId="34" fillId="12" borderId="7" xfId="34" applyFont="1" applyFill="1" applyBorder="1" applyAlignment="1" applyProtection="1">
      <alignment horizontal="left"/>
      <protection locked="0"/>
    </xf>
    <xf numFmtId="0" fontId="42" fillId="0" borderId="0" xfId="34"/>
    <xf numFmtId="4" fontId="42" fillId="0" borderId="0" xfId="34" applyNumberFormat="1"/>
    <xf numFmtId="165" fontId="42" fillId="0" borderId="0" xfId="34" applyNumberFormat="1"/>
    <xf numFmtId="165" fontId="42" fillId="5" borderId="0" xfId="34" applyNumberFormat="1" applyFill="1"/>
    <xf numFmtId="0" fontId="11" fillId="22" borderId="26" xfId="36" applyFont="1" applyFill="1" applyBorder="1" applyAlignment="1">
      <alignment horizontal="center"/>
    </xf>
    <xf numFmtId="0" fontId="15" fillId="0" borderId="26" xfId="36" applyBorder="1"/>
    <xf numFmtId="0" fontId="15" fillId="0" borderId="26" xfId="36" applyBorder="1" applyAlignment="1">
      <alignment horizontal="center"/>
    </xf>
    <xf numFmtId="4" fontId="15" fillId="0" borderId="26" xfId="36" applyNumberFormat="1" applyBorder="1" applyAlignment="1">
      <alignment horizontal="center"/>
    </xf>
    <xf numFmtId="0" fontId="46" fillId="0" borderId="0" xfId="0" applyFont="1"/>
    <xf numFmtId="0" fontId="0" fillId="5" borderId="26" xfId="0" applyFill="1" applyBorder="1" applyAlignment="1">
      <alignment horizontal="center"/>
    </xf>
    <xf numFmtId="8" fontId="0" fillId="0" borderId="26" xfId="0" applyNumberFormat="1" applyBorder="1" applyAlignment="1">
      <alignment horizontal="center"/>
    </xf>
    <xf numFmtId="0" fontId="48" fillId="5" borderId="26" xfId="0" applyFont="1" applyFill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47" fillId="8" borderId="26" xfId="0" applyFont="1" applyFill="1" applyBorder="1" applyAlignment="1">
      <alignment horizontal="center" vertical="center"/>
    </xf>
    <xf numFmtId="0" fontId="11" fillId="22" borderId="26" xfId="36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1" fillId="0" borderId="0" xfId="0" applyFont="1" applyAlignment="1">
      <alignment vertical="top" wrapText="1"/>
    </xf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21" fillId="14" borderId="26" xfId="25" applyFont="1" applyFill="1" applyBorder="1" applyAlignment="1">
      <alignment horizontal="center"/>
    </xf>
    <xf numFmtId="0" fontId="20" fillId="15" borderId="26" xfId="25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7" borderId="2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5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/>
    </xf>
    <xf numFmtId="0" fontId="3" fillId="0" borderId="0" xfId="0" applyFont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" fontId="44" fillId="0" borderId="26" xfId="34" applyNumberFormat="1" applyFont="1" applyBorder="1" applyAlignment="1">
      <alignment horizontal="center"/>
    </xf>
    <xf numFmtId="0" fontId="45" fillId="5" borderId="0" xfId="34" applyFont="1" applyFill="1" applyAlignment="1">
      <alignment horizontal="center"/>
    </xf>
    <xf numFmtId="4" fontId="34" fillId="21" borderId="26" xfId="34" applyNumberFormat="1" applyFont="1" applyFill="1" applyBorder="1" applyAlignment="1">
      <alignment horizontal="center" vertical="center"/>
    </xf>
    <xf numFmtId="0" fontId="44" fillId="0" borderId="26" xfId="34" applyFont="1" applyBorder="1" applyAlignment="1">
      <alignment horizontal="center"/>
    </xf>
    <xf numFmtId="0" fontId="34" fillId="21" borderId="26" xfId="34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3" borderId="0" xfId="0" applyFill="1" applyAlignment="1">
      <alignment horizontal="left" wrapText="1"/>
    </xf>
  </cellXfs>
  <cellStyles count="37">
    <cellStyle name="Moeda" xfId="1" builtinId="4"/>
    <cellStyle name="Moeda [0] 2" xfId="3" xr:uid="{16D30FDF-DE5E-4309-8666-173E07E8E744}"/>
    <cellStyle name="Moeda [0] 3" xfId="8" xr:uid="{B0A7C138-4E7D-4F9B-99E4-8399AA386AAA}"/>
    <cellStyle name="Moeda 10" xfId="14" xr:uid="{55F5719E-F93E-4015-B9B6-4735AEF74862}"/>
    <cellStyle name="Moeda 11" xfId="15" xr:uid="{1B624A44-CE7C-4317-BC6D-F121E06F49B7}"/>
    <cellStyle name="Moeda 12" xfId="17" xr:uid="{C596B27C-7218-4CE8-9776-B81123008329}"/>
    <cellStyle name="Moeda 13" xfId="22" xr:uid="{142AC70B-78D8-4C44-AF1E-FD67D120BBF1}"/>
    <cellStyle name="Moeda 14" xfId="30" xr:uid="{99E4DFE3-D645-4B3B-A95F-8C0D82620ECD}"/>
    <cellStyle name="Moeda 2" xfId="2" xr:uid="{6A51A567-CF6C-40EC-938C-522DECC25065}"/>
    <cellStyle name="Moeda 2 2" xfId="10" xr:uid="{211607E8-7AE9-470F-AA26-EDBD55A3BB5E}"/>
    <cellStyle name="Moeda 2 3" xfId="18" xr:uid="{2C7F31C1-5FED-4F7D-B376-8A0D0999ADDD}"/>
    <cellStyle name="Moeda 2 4" xfId="23" xr:uid="{9A3C169C-7A04-4E4E-B475-B52840182F59}"/>
    <cellStyle name="Moeda 2 5" xfId="32" xr:uid="{3D60A8DF-7BF5-4D17-83D3-5D8C9840D25C}"/>
    <cellStyle name="Moeda 3" xfId="4" xr:uid="{34E85822-DFEA-423B-943C-CAAF6EEC5B0F}"/>
    <cellStyle name="Moeda 3 2" xfId="24" xr:uid="{9C1F2F26-2BB1-4A88-B067-D758FB5CB13C}"/>
    <cellStyle name="Moeda 3 3" xfId="33" xr:uid="{553DBBFC-35A9-4116-ACF1-DA0027658271}"/>
    <cellStyle name="Moeda 4" xfId="7" xr:uid="{F67AF73C-4F94-45F3-85ED-D01BB4C5EABE}"/>
    <cellStyle name="Moeda 5" xfId="6" xr:uid="{4726BF94-355B-4FB7-9166-840B3535EC1B}"/>
    <cellStyle name="Moeda 6" xfId="9" xr:uid="{0B860992-D63E-4BD5-9810-DA6089CAD487}"/>
    <cellStyle name="Moeda 7" xfId="11" xr:uid="{1804D6A7-FEF2-49FF-A7F2-06A369D30633}"/>
    <cellStyle name="Moeda 8" xfId="12" xr:uid="{A23ECDD9-F729-45B8-B258-8DD8DCCFF8B8}"/>
    <cellStyle name="Moeda 9" xfId="13" xr:uid="{1456C872-6671-4108-BEF2-7C1D5B9AEC13}"/>
    <cellStyle name="Normal" xfId="0" builtinId="0"/>
    <cellStyle name="Normal 2" xfId="25" xr:uid="{2FBC2011-B93E-47CC-A6A4-6FA66FFDD5C4}"/>
    <cellStyle name="Normal 2 2" xfId="29" xr:uid="{4A6EF572-3237-462B-A3CD-4DC97024C65A}"/>
    <cellStyle name="Normal 2 3" xfId="31" xr:uid="{6907DA82-1034-48FC-8D0B-A32004D816AC}"/>
    <cellStyle name="Normal 3" xfId="19" xr:uid="{4B88EDBE-5876-40CD-82B3-36B4D70F9DA2}"/>
    <cellStyle name="Normal 3 2" xfId="26" xr:uid="{59E37F67-986B-4C9F-A2C5-0F74C2A6845C}"/>
    <cellStyle name="Normal 4" xfId="34" xr:uid="{2FF506BB-3854-4DFF-8195-57A7FF9E8CAE}"/>
    <cellStyle name="Normal_Plan2" xfId="36" xr:uid="{F0D7A181-8694-4BDB-936D-26F9E71F32A0}"/>
    <cellStyle name="Porcentagem 2" xfId="5" xr:uid="{CAEDED2E-B09B-4366-B3BF-41F6F22C46E2}"/>
    <cellStyle name="Porcentagem 2 2" xfId="27" xr:uid="{C7174E0F-58EC-46D8-9E47-D8F15933C7C0}"/>
    <cellStyle name="Porcentagem 3" xfId="35" xr:uid="{89796DF1-12CE-4D5D-9F08-94CB26B18E5D}"/>
    <cellStyle name="Separador de milhares 2" xfId="28" xr:uid="{54DC2CEB-C77E-42B7-8DB0-C7037438EFD9}"/>
    <cellStyle name="Vírgula" xfId="20" builtinId="3"/>
    <cellStyle name="Vírgula 2" xfId="16" xr:uid="{4E53BB2D-7903-4DC6-B127-4333F06ADF68}"/>
    <cellStyle name="Vírgula 3" xfId="21" xr:uid="{026B5EAC-A940-444E-AF27-E74556795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223839</xdr:colOff>
      <xdr:row>10</xdr:row>
      <xdr:rowOff>30159</xdr:rowOff>
    </xdr:from>
    <xdr:ext cx="238125" cy="317500"/>
    <xdr:sp macro="" textlink="">
      <xdr:nvSpPr>
        <xdr:cNvPr id="8" name="Seta para baixo 7">
          <a:extLst>
            <a:ext uri="{FF2B5EF4-FFF2-40B4-BE49-F238E27FC236}">
              <a16:creationId xmlns:a16="http://schemas.microsoft.com/office/drawing/2014/main" id="{76C86156-D089-4943-BAF2-06142686D714}"/>
            </a:ext>
          </a:extLst>
        </xdr:cNvPr>
        <xdr:cNvSpPr/>
      </xdr:nvSpPr>
      <xdr:spPr bwMode="auto">
        <a:xfrm>
          <a:off x="223839" y="1935159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oneCellAnchor>
  <xdr:oneCellAnchor>
    <xdr:from>
      <xdr:col>1</xdr:col>
      <xdr:colOff>841376</xdr:colOff>
      <xdr:row>10</xdr:row>
      <xdr:rowOff>39684</xdr:rowOff>
    </xdr:from>
    <xdr:ext cx="238125" cy="317500"/>
    <xdr:sp macro="" textlink="">
      <xdr:nvSpPr>
        <xdr:cNvPr id="9" name="Seta para baixo 8">
          <a:extLst>
            <a:ext uri="{FF2B5EF4-FFF2-40B4-BE49-F238E27FC236}">
              <a16:creationId xmlns:a16="http://schemas.microsoft.com/office/drawing/2014/main" id="{0728D727-AA1E-470D-8CAE-E0AE8EEC9D55}"/>
            </a:ext>
          </a:extLst>
        </xdr:cNvPr>
        <xdr:cNvSpPr/>
      </xdr:nvSpPr>
      <xdr:spPr bwMode="auto">
        <a:xfrm>
          <a:off x="1460501" y="1944684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oneCellAnchor>
  <xdr:oneCellAnchor>
    <xdr:from>
      <xdr:col>2</xdr:col>
      <xdr:colOff>488952</xdr:colOff>
      <xdr:row>10</xdr:row>
      <xdr:rowOff>47622</xdr:rowOff>
    </xdr:from>
    <xdr:ext cx="238125" cy="317500"/>
    <xdr:sp macro="" textlink="">
      <xdr:nvSpPr>
        <xdr:cNvPr id="10" name="Seta para baixo 9">
          <a:extLst>
            <a:ext uri="{FF2B5EF4-FFF2-40B4-BE49-F238E27FC236}">
              <a16:creationId xmlns:a16="http://schemas.microsoft.com/office/drawing/2014/main" id="{B403E0AC-9AD2-47AB-9855-B2A3EDDCC016}"/>
            </a:ext>
          </a:extLst>
        </xdr:cNvPr>
        <xdr:cNvSpPr/>
      </xdr:nvSpPr>
      <xdr:spPr bwMode="auto">
        <a:xfrm>
          <a:off x="2946402" y="1952622"/>
          <a:ext cx="238125" cy="317500"/>
        </a:xfrm>
        <a:prstGeom prst="downArrow">
          <a:avLst/>
        </a:prstGeom>
        <a:ln>
          <a:headEnd type="none" w="med" len="med"/>
          <a:tailEnd type="none" w="med" len="med"/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nicius\Downloads\Aula05_revisaoProcv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ção a Função ProcV"/>
      <sheetName val="Exemplo 1 - Correspond. Exata"/>
      <sheetName val="Exemplo 1 - Correspond. Aproxim"/>
      <sheetName val="Exemplo 2 - Clientes"/>
      <sheetName val="Cadastro Clientes"/>
      <sheetName val="PROCH - Conceito"/>
      <sheetName val="Exemplo 1 - PROCH"/>
      <sheetName val="Exemplo 2 - ProcH"/>
      <sheetName val="PROCV Ex - 1"/>
      <sheetName val="PROCV Ex - 2"/>
      <sheetName val="PROCV Aproximado Ex - 3"/>
      <sheetName val="PROCH Ex -1"/>
      <sheetName val="PROCH Ex -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68B3-2CF1-4E29-91B6-5E98364D5A6C}">
  <sheetPr>
    <tabColor theme="7" tint="-0.249977111117893"/>
  </sheetPr>
  <dimension ref="A1:H40"/>
  <sheetViews>
    <sheetView topLeftCell="A16" workbookViewId="0">
      <selection activeCell="B31" sqref="B31"/>
    </sheetView>
  </sheetViews>
  <sheetFormatPr defaultRowHeight="14.4"/>
  <cols>
    <col min="1" max="1" width="15.88671875" customWidth="1"/>
    <col min="2" max="2" width="10.6640625" bestFit="1" customWidth="1"/>
    <col min="3" max="3" width="14" bestFit="1" customWidth="1"/>
    <col min="4" max="4" width="11.5546875" bestFit="1" customWidth="1"/>
    <col min="5" max="5" width="20.33203125" customWidth="1"/>
    <col min="6" max="6" width="18.6640625" customWidth="1"/>
    <col min="7" max="7" width="20.109375" customWidth="1"/>
    <col min="8" max="8" width="9.88671875" bestFit="1" customWidth="1"/>
    <col min="9" max="9" width="13.33203125" customWidth="1"/>
    <col min="10" max="10" width="12.44140625" bestFit="1" customWidth="1"/>
    <col min="12" max="13" width="10.109375" bestFit="1" customWidth="1"/>
    <col min="14" max="14" width="13.5546875" bestFit="1" customWidth="1"/>
    <col min="15" max="15" width="10.5546875" bestFit="1" customWidth="1"/>
    <col min="16" max="17" width="11.88671875" bestFit="1" customWidth="1"/>
    <col min="18" max="18" width="10.6640625" bestFit="1" customWidth="1"/>
    <col min="19" max="19" width="7.44140625" bestFit="1" customWidth="1"/>
    <col min="20" max="20" width="9" bestFit="1" customWidth="1"/>
    <col min="21" max="21" width="13.5546875" bestFit="1" customWidth="1"/>
    <col min="22" max="22" width="10.5546875" bestFit="1" customWidth="1"/>
    <col min="23" max="23" width="11.88671875" bestFit="1" customWidth="1"/>
  </cols>
  <sheetData>
    <row r="1" spans="1:8">
      <c r="A1" s="183" t="s">
        <v>15</v>
      </c>
      <c r="B1" s="183"/>
      <c r="C1" s="183"/>
      <c r="D1" s="183"/>
      <c r="F1" s="183" t="s">
        <v>84</v>
      </c>
      <c r="G1" s="183"/>
    </row>
    <row r="2" spans="1:8" ht="18.75" customHeight="1" thickBot="1">
      <c r="A2" s="14">
        <v>44856</v>
      </c>
      <c r="B2" s="14">
        <v>44926</v>
      </c>
      <c r="C2" s="16">
        <f>DAYS360(A2,B2)</f>
        <v>69</v>
      </c>
      <c r="D2" s="16">
        <f>DAYS360(B2,A2)</f>
        <v>-68</v>
      </c>
      <c r="F2" s="29" t="s">
        <v>80</v>
      </c>
      <c r="G2" s="29" t="s">
        <v>80</v>
      </c>
      <c r="H2" t="s">
        <v>95</v>
      </c>
    </row>
    <row r="3" spans="1:8" ht="18.75" customHeight="1" thickBot="1">
      <c r="A3" s="7" t="s">
        <v>8</v>
      </c>
      <c r="B3" s="4">
        <v>0.60468749999999993</v>
      </c>
      <c r="C3" s="7" t="s">
        <v>9</v>
      </c>
      <c r="D3" s="6">
        <f ca="1">TODAY()</f>
        <v>45495</v>
      </c>
      <c r="F3" s="27" t="s">
        <v>81</v>
      </c>
      <c r="G3" s="27">
        <v>32</v>
      </c>
      <c r="H3" s="28">
        <f>COUNTIF(F2:F6,"maçãs")</f>
        <v>2</v>
      </c>
    </row>
    <row r="4" spans="1:8" ht="18.75" customHeight="1" thickBot="1">
      <c r="A4" s="3"/>
      <c r="B4" s="5">
        <f>HOUR(B3)</f>
        <v>14</v>
      </c>
      <c r="C4" s="3"/>
      <c r="D4" s="5">
        <f ca="1">DAY(D3)</f>
        <v>22</v>
      </c>
      <c r="F4" s="27" t="s">
        <v>82</v>
      </c>
      <c r="G4" s="27">
        <v>54</v>
      </c>
      <c r="H4" s="28">
        <f>COUNTIF(F2:F6,F4)</f>
        <v>1</v>
      </c>
    </row>
    <row r="5" spans="1:8" ht="18.75" customHeight="1" thickBot="1">
      <c r="A5" s="7" t="s">
        <v>10</v>
      </c>
      <c r="B5" s="4">
        <v>0.65052083333333333</v>
      </c>
      <c r="C5" s="7" t="s">
        <v>11</v>
      </c>
      <c r="D5" s="6">
        <f ca="1">TODAY()</f>
        <v>45495</v>
      </c>
      <c r="F5" s="27" t="s">
        <v>83</v>
      </c>
      <c r="G5" s="27">
        <v>75</v>
      </c>
    </row>
    <row r="6" spans="1:8" ht="18.75" customHeight="1" thickBot="1">
      <c r="B6" s="5">
        <f>MINUTE(B5)</f>
        <v>36</v>
      </c>
      <c r="D6" s="5">
        <f ca="1">MONTH(D5)</f>
        <v>7</v>
      </c>
      <c r="F6" s="27" t="s">
        <v>81</v>
      </c>
      <c r="G6" s="27">
        <v>86</v>
      </c>
    </row>
    <row r="7" spans="1:8" ht="18.75" customHeight="1">
      <c r="A7" s="7" t="s">
        <v>12</v>
      </c>
      <c r="B7" s="4">
        <v>0.5630208333333333</v>
      </c>
      <c r="C7" s="7" t="s">
        <v>13</v>
      </c>
      <c r="D7" s="6">
        <f ca="1">TODAY()</f>
        <v>45495</v>
      </c>
    </row>
    <row r="8" spans="1:8" ht="18.75" customHeight="1">
      <c r="B8" s="5">
        <f>SECOND(B7)</f>
        <v>45</v>
      </c>
      <c r="D8" s="5">
        <f ca="1">YEAR(D7)</f>
        <v>2024</v>
      </c>
    </row>
    <row r="9" spans="1:8" ht="18.75" customHeight="1"/>
    <row r="10" spans="1:8" ht="18.75" customHeight="1">
      <c r="A10" s="1"/>
      <c r="B10" s="13" t="s">
        <v>85</v>
      </c>
      <c r="C10" s="13" t="s">
        <v>86</v>
      </c>
      <c r="D10" t="s">
        <v>94</v>
      </c>
      <c r="F10" s="24" t="s">
        <v>47</v>
      </c>
      <c r="G10" s="24" t="s">
        <v>61</v>
      </c>
    </row>
    <row r="11" spans="1:8">
      <c r="A11" s="182" t="s">
        <v>90</v>
      </c>
      <c r="B11" s="1" t="s">
        <v>87</v>
      </c>
      <c r="C11" s="2">
        <v>22</v>
      </c>
      <c r="D11">
        <f>SUMIF(B11:B25,"Julio",C11:C25)</f>
        <v>217</v>
      </c>
      <c r="F11" s="1" t="s">
        <v>58</v>
      </c>
      <c r="G11" s="1">
        <v>100</v>
      </c>
    </row>
    <row r="12" spans="1:8">
      <c r="A12" s="182"/>
      <c r="B12" s="1" t="s">
        <v>88</v>
      </c>
      <c r="C12" s="2">
        <v>18</v>
      </c>
      <c r="F12" s="1" t="s">
        <v>62</v>
      </c>
      <c r="G12" s="12">
        <v>350</v>
      </c>
      <c r="H12" t="s">
        <v>63</v>
      </c>
    </row>
    <row r="13" spans="1:8" ht="15" thickBot="1">
      <c r="A13" s="182"/>
      <c r="B13" s="1" t="s">
        <v>89</v>
      </c>
      <c r="C13" s="2">
        <v>30</v>
      </c>
      <c r="F13" s="1" t="s">
        <v>64</v>
      </c>
      <c r="G13" s="1">
        <v>700</v>
      </c>
      <c r="H13" s="25" t="s">
        <v>65</v>
      </c>
    </row>
    <row r="14" spans="1:8" ht="15" thickBot="1">
      <c r="A14" s="1"/>
      <c r="B14" s="1"/>
      <c r="C14" s="2"/>
      <c r="F14" s="1" t="s">
        <v>66</v>
      </c>
      <c r="G14" s="1"/>
      <c r="H14" s="26"/>
    </row>
    <row r="15" spans="1:8">
      <c r="A15" s="182" t="s">
        <v>91</v>
      </c>
      <c r="B15" s="1" t="s">
        <v>87</v>
      </c>
      <c r="C15" s="2">
        <v>32</v>
      </c>
      <c r="F15" s="1" t="s">
        <v>67</v>
      </c>
      <c r="G15" s="12"/>
      <c r="H15" t="s">
        <v>68</v>
      </c>
    </row>
    <row r="16" spans="1:8" ht="15" thickBot="1">
      <c r="A16" s="182"/>
      <c r="B16" s="1" t="s">
        <v>88</v>
      </c>
      <c r="C16" s="2">
        <v>83</v>
      </c>
      <c r="F16" s="1" t="s">
        <v>69</v>
      </c>
      <c r="G16" s="12"/>
      <c r="H16" s="25" t="s">
        <v>70</v>
      </c>
    </row>
    <row r="17" spans="1:8" ht="15" thickBot="1">
      <c r="A17" s="182"/>
      <c r="B17" s="1" t="s">
        <v>89</v>
      </c>
      <c r="C17" s="2">
        <v>52</v>
      </c>
      <c r="F17" s="1" t="s">
        <v>71</v>
      </c>
      <c r="G17" s="1">
        <v>450</v>
      </c>
      <c r="H17" s="26"/>
    </row>
    <row r="18" spans="1:8">
      <c r="A18" s="1"/>
      <c r="B18" s="1"/>
      <c r="C18" s="2"/>
      <c r="F18" s="1" t="s">
        <v>72</v>
      </c>
      <c r="G18" s="12"/>
      <c r="H18" t="s">
        <v>73</v>
      </c>
    </row>
    <row r="19" spans="1:8" ht="15" thickBot="1">
      <c r="A19" s="182" t="s">
        <v>92</v>
      </c>
      <c r="B19" s="1" t="s">
        <v>87</v>
      </c>
      <c r="C19" s="2">
        <v>65</v>
      </c>
      <c r="F19" s="1" t="s">
        <v>74</v>
      </c>
      <c r="G19" s="12"/>
      <c r="H19" s="25" t="s">
        <v>75</v>
      </c>
    </row>
    <row r="20" spans="1:8" ht="15" thickBot="1">
      <c r="A20" s="182"/>
      <c r="B20" s="1" t="s">
        <v>88</v>
      </c>
      <c r="C20" s="2">
        <v>92</v>
      </c>
      <c r="F20" s="1" t="s">
        <v>76</v>
      </c>
      <c r="G20" s="1">
        <v>900</v>
      </c>
      <c r="H20" s="26"/>
    </row>
    <row r="21" spans="1:8">
      <c r="A21" s="182"/>
      <c r="B21" s="1" t="s">
        <v>89</v>
      </c>
      <c r="C21" s="2">
        <v>110</v>
      </c>
      <c r="F21" s="1" t="s">
        <v>77</v>
      </c>
      <c r="G21" s="1">
        <v>850</v>
      </c>
    </row>
    <row r="22" spans="1:8">
      <c r="A22" s="1"/>
      <c r="B22" s="1"/>
      <c r="C22" s="2"/>
      <c r="F22" s="1" t="s">
        <v>4</v>
      </c>
      <c r="G22" s="12"/>
    </row>
    <row r="23" spans="1:8">
      <c r="A23" s="182" t="s">
        <v>93</v>
      </c>
      <c r="B23" s="1" t="s">
        <v>87</v>
      </c>
      <c r="C23" s="2">
        <v>98</v>
      </c>
      <c r="F23" s="1" t="s">
        <v>78</v>
      </c>
      <c r="G23" s="12"/>
    </row>
    <row r="24" spans="1:8">
      <c r="A24" s="182"/>
      <c r="B24" s="1" t="s">
        <v>88</v>
      </c>
      <c r="C24" s="2">
        <v>50</v>
      </c>
      <c r="F24" s="1" t="s">
        <v>79</v>
      </c>
      <c r="G24" s="1">
        <v>200</v>
      </c>
    </row>
    <row r="25" spans="1:8">
      <c r="A25" s="182"/>
      <c r="B25" s="1" t="s">
        <v>89</v>
      </c>
      <c r="C25" s="2">
        <v>68</v>
      </c>
    </row>
    <row r="28" spans="1:8">
      <c r="A28" s="175" t="s">
        <v>500</v>
      </c>
    </row>
    <row r="29" spans="1:8" ht="22.5" customHeight="1">
      <c r="A29" s="176" t="s">
        <v>453</v>
      </c>
      <c r="B29" s="180">
        <v>9</v>
      </c>
      <c r="D29" s="181" t="s">
        <v>501</v>
      </c>
      <c r="E29" s="181"/>
      <c r="F29" s="181"/>
    </row>
    <row r="30" spans="1:8">
      <c r="A30" s="177">
        <f>SUBTOTAL(B29,F31:F40)</f>
        <v>263900</v>
      </c>
      <c r="B30" s="180"/>
      <c r="D30" s="171" t="s">
        <v>367</v>
      </c>
      <c r="E30" s="171" t="s">
        <v>502</v>
      </c>
      <c r="F30" s="171" t="s">
        <v>115</v>
      </c>
    </row>
    <row r="31" spans="1:8">
      <c r="D31" s="172" t="s">
        <v>503</v>
      </c>
      <c r="E31" s="173" t="s">
        <v>504</v>
      </c>
      <c r="F31" s="174">
        <v>22500</v>
      </c>
    </row>
    <row r="32" spans="1:8">
      <c r="A32" s="178" t="s">
        <v>492</v>
      </c>
      <c r="B32" s="176" t="s">
        <v>493</v>
      </c>
      <c r="D32" s="172" t="s">
        <v>4</v>
      </c>
      <c r="E32" s="173" t="s">
        <v>505</v>
      </c>
      <c r="F32" s="174">
        <v>33400</v>
      </c>
    </row>
    <row r="33" spans="1:6">
      <c r="A33" s="179" t="s">
        <v>494</v>
      </c>
      <c r="B33" s="179">
        <v>1</v>
      </c>
      <c r="D33" s="172" t="s">
        <v>278</v>
      </c>
      <c r="E33" s="173" t="s">
        <v>506</v>
      </c>
      <c r="F33" s="174">
        <v>22000</v>
      </c>
    </row>
    <row r="34" spans="1:6">
      <c r="A34" s="179" t="s">
        <v>495</v>
      </c>
      <c r="B34" s="179">
        <v>2</v>
      </c>
      <c r="D34" s="172" t="s">
        <v>60</v>
      </c>
      <c r="E34" s="173" t="s">
        <v>507</v>
      </c>
      <c r="F34" s="174">
        <v>20000</v>
      </c>
    </row>
    <row r="35" spans="1:6">
      <c r="A35" s="179" t="s">
        <v>496</v>
      </c>
      <c r="B35" s="179">
        <v>3</v>
      </c>
      <c r="D35" s="172" t="s">
        <v>508</v>
      </c>
      <c r="E35" s="173" t="s">
        <v>507</v>
      </c>
      <c r="F35" s="174">
        <v>27800</v>
      </c>
    </row>
    <row r="36" spans="1:6">
      <c r="A36" s="179" t="s">
        <v>497</v>
      </c>
      <c r="B36" s="179">
        <v>4</v>
      </c>
      <c r="D36" s="172" t="s">
        <v>62</v>
      </c>
      <c r="E36" s="173" t="s">
        <v>506</v>
      </c>
      <c r="F36" s="174">
        <v>24500</v>
      </c>
    </row>
    <row r="37" spans="1:6">
      <c r="A37" s="179" t="s">
        <v>498</v>
      </c>
      <c r="B37" s="179">
        <v>5</v>
      </c>
      <c r="D37" s="172" t="s">
        <v>87</v>
      </c>
      <c r="E37" s="173" t="s">
        <v>507</v>
      </c>
      <c r="F37" s="174">
        <v>33000</v>
      </c>
    </row>
    <row r="38" spans="1:6">
      <c r="A38" s="179" t="s">
        <v>499</v>
      </c>
      <c r="B38" s="179">
        <v>9</v>
      </c>
      <c r="D38" s="172" t="s">
        <v>509</v>
      </c>
      <c r="E38" s="173" t="s">
        <v>506</v>
      </c>
      <c r="F38" s="174">
        <v>25000</v>
      </c>
    </row>
    <row r="39" spans="1:6">
      <c r="D39" s="172" t="s">
        <v>510</v>
      </c>
      <c r="E39" s="173" t="s">
        <v>504</v>
      </c>
      <c r="F39" s="174">
        <v>29000</v>
      </c>
    </row>
    <row r="40" spans="1:6">
      <c r="D40" s="172" t="s">
        <v>511</v>
      </c>
      <c r="E40" s="173" t="s">
        <v>507</v>
      </c>
      <c r="F40" s="174">
        <v>26700</v>
      </c>
    </row>
  </sheetData>
  <mergeCells count="8">
    <mergeCell ref="B29:B30"/>
    <mergeCell ref="D29:F29"/>
    <mergeCell ref="A23:A25"/>
    <mergeCell ref="A1:D1"/>
    <mergeCell ref="F1:G1"/>
    <mergeCell ref="A11:A13"/>
    <mergeCell ref="A15:A17"/>
    <mergeCell ref="A19:A21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08A0-F63B-46FB-8F13-ECB1B8E178B5}">
  <sheetPr>
    <tabColor theme="4" tint="-0.249977111117893"/>
  </sheetPr>
  <dimension ref="A1:P55"/>
  <sheetViews>
    <sheetView topLeftCell="A34" workbookViewId="0">
      <selection activeCell="J35" sqref="J35"/>
    </sheetView>
  </sheetViews>
  <sheetFormatPr defaultRowHeight="14.4"/>
  <cols>
    <col min="14" max="14" width="11.44140625" bestFit="1" customWidth="1"/>
  </cols>
  <sheetData>
    <row r="1" spans="1:16">
      <c r="A1" s="185" t="s">
        <v>235</v>
      </c>
      <c r="B1" s="185"/>
      <c r="D1" s="185" t="s">
        <v>236</v>
      </c>
      <c r="E1" s="185"/>
      <c r="G1" s="185" t="s">
        <v>237</v>
      </c>
      <c r="H1" s="185"/>
      <c r="K1" s="66" t="s">
        <v>106</v>
      </c>
      <c r="L1" s="66" t="s">
        <v>246</v>
      </c>
      <c r="M1" s="66" t="s">
        <v>247</v>
      </c>
      <c r="N1" s="66" t="s">
        <v>248</v>
      </c>
    </row>
    <row r="2" spans="1:16">
      <c r="A2" s="1" t="s">
        <v>238</v>
      </c>
      <c r="B2" s="67">
        <v>89.5</v>
      </c>
      <c r="D2" s="1" t="s">
        <v>238</v>
      </c>
      <c r="E2" s="67">
        <v>120</v>
      </c>
      <c r="G2" s="1" t="s">
        <v>238</v>
      </c>
      <c r="H2" s="67">
        <v>89.5</v>
      </c>
      <c r="K2" s="2" t="s">
        <v>74</v>
      </c>
      <c r="L2" s="2">
        <v>29</v>
      </c>
      <c r="M2" s="2" t="s">
        <v>249</v>
      </c>
      <c r="N2" s="2" t="s">
        <v>250</v>
      </c>
    </row>
    <row r="3" spans="1:16">
      <c r="A3" s="1" t="s">
        <v>239</v>
      </c>
      <c r="B3" s="67">
        <v>129.9</v>
      </c>
      <c r="D3" s="1" t="s">
        <v>239</v>
      </c>
      <c r="E3" s="67">
        <v>15</v>
      </c>
      <c r="G3" s="1" t="s">
        <v>239</v>
      </c>
      <c r="H3" s="67">
        <v>70</v>
      </c>
      <c r="K3" s="2" t="s">
        <v>59</v>
      </c>
      <c r="L3" s="2">
        <v>33</v>
      </c>
      <c r="M3" s="2" t="s">
        <v>249</v>
      </c>
      <c r="N3" s="2" t="s">
        <v>251</v>
      </c>
    </row>
    <row r="4" spans="1:16">
      <c r="A4" s="1" t="s">
        <v>240</v>
      </c>
      <c r="B4" s="67">
        <v>30</v>
      </c>
      <c r="D4" s="1" t="s">
        <v>240</v>
      </c>
      <c r="E4" s="67">
        <v>30</v>
      </c>
      <c r="G4" s="1" t="s">
        <v>240</v>
      </c>
      <c r="H4" s="67">
        <v>30</v>
      </c>
      <c r="K4" s="2" t="s">
        <v>252</v>
      </c>
      <c r="L4" s="2">
        <v>40</v>
      </c>
      <c r="M4" s="2" t="s">
        <v>222</v>
      </c>
      <c r="N4" s="2" t="s">
        <v>253</v>
      </c>
    </row>
    <row r="5" spans="1:16">
      <c r="A5" s="1" t="s">
        <v>241</v>
      </c>
      <c r="B5" s="67">
        <v>12.5</v>
      </c>
      <c r="D5" s="1" t="s">
        <v>241</v>
      </c>
      <c r="E5" s="67">
        <v>12.5</v>
      </c>
      <c r="G5" s="1" t="s">
        <v>241</v>
      </c>
      <c r="H5" s="67">
        <v>12.5</v>
      </c>
      <c r="K5" s="2" t="s">
        <v>254</v>
      </c>
      <c r="L5" s="2">
        <v>32</v>
      </c>
      <c r="M5" s="2" t="s">
        <v>249</v>
      </c>
      <c r="N5" s="2" t="s">
        <v>250</v>
      </c>
    </row>
    <row r="6" spans="1:16">
      <c r="A6" s="1" t="s">
        <v>241</v>
      </c>
      <c r="B6" s="67">
        <v>80</v>
      </c>
      <c r="D6" s="1" t="s">
        <v>241</v>
      </c>
      <c r="E6" s="67">
        <v>80</v>
      </c>
      <c r="G6" s="1" t="s">
        <v>241</v>
      </c>
      <c r="H6" s="67">
        <v>80</v>
      </c>
      <c r="K6" s="2" t="s">
        <v>255</v>
      </c>
      <c r="L6" s="2">
        <v>19</v>
      </c>
      <c r="M6" s="2" t="s">
        <v>222</v>
      </c>
      <c r="N6" s="2" t="s">
        <v>256</v>
      </c>
    </row>
    <row r="7" spans="1:16">
      <c r="A7" s="1" t="s">
        <v>238</v>
      </c>
      <c r="B7" s="67">
        <v>250</v>
      </c>
      <c r="D7" s="1" t="s">
        <v>238</v>
      </c>
      <c r="E7" s="67">
        <v>250</v>
      </c>
      <c r="G7" s="1" t="s">
        <v>238</v>
      </c>
      <c r="H7" s="67">
        <v>40</v>
      </c>
      <c r="K7" s="2" t="s">
        <v>257</v>
      </c>
      <c r="L7" s="2">
        <v>26</v>
      </c>
      <c r="M7" s="2" t="s">
        <v>222</v>
      </c>
      <c r="N7" s="2" t="s">
        <v>250</v>
      </c>
    </row>
    <row r="8" spans="1:16">
      <c r="A8" s="1" t="s">
        <v>242</v>
      </c>
      <c r="B8" s="67">
        <v>110</v>
      </c>
      <c r="D8" s="1" t="s">
        <v>242</v>
      </c>
      <c r="E8" s="67">
        <v>110</v>
      </c>
      <c r="G8" s="1" t="s">
        <v>242</v>
      </c>
      <c r="H8" s="67">
        <v>10</v>
      </c>
      <c r="K8" s="2" t="s">
        <v>258</v>
      </c>
      <c r="L8" s="2">
        <v>31</v>
      </c>
      <c r="M8" s="2" t="s">
        <v>222</v>
      </c>
      <c r="N8" s="2" t="s">
        <v>250</v>
      </c>
    </row>
    <row r="9" spans="1:16">
      <c r="A9" s="1" t="s">
        <v>238</v>
      </c>
      <c r="B9" s="67">
        <v>35</v>
      </c>
      <c r="D9" s="1" t="s">
        <v>238</v>
      </c>
      <c r="E9" s="67">
        <v>12</v>
      </c>
      <c r="G9" s="1" t="s">
        <v>238</v>
      </c>
      <c r="H9" s="67">
        <v>35</v>
      </c>
      <c r="K9" s="2" t="s">
        <v>259</v>
      </c>
      <c r="L9" s="2">
        <v>36</v>
      </c>
      <c r="M9" s="2" t="s">
        <v>249</v>
      </c>
      <c r="N9" s="2" t="s">
        <v>260</v>
      </c>
    </row>
    <row r="10" spans="1:16">
      <c r="A10" s="1" t="s">
        <v>239</v>
      </c>
      <c r="B10" s="67">
        <v>123</v>
      </c>
      <c r="D10" s="1" t="s">
        <v>239</v>
      </c>
      <c r="E10" s="67">
        <v>123</v>
      </c>
      <c r="G10" s="1" t="s">
        <v>239</v>
      </c>
      <c r="H10" s="67">
        <v>123</v>
      </c>
      <c r="K10" s="2" t="s">
        <v>261</v>
      </c>
      <c r="L10" s="2">
        <v>28</v>
      </c>
      <c r="M10" s="2" t="s">
        <v>249</v>
      </c>
      <c r="N10" s="2" t="s">
        <v>253</v>
      </c>
    </row>
    <row r="11" spans="1:16">
      <c r="A11" s="1" t="s">
        <v>243</v>
      </c>
      <c r="B11" s="67">
        <v>253</v>
      </c>
      <c r="D11" s="1" t="s">
        <v>243</v>
      </c>
      <c r="E11" s="67">
        <v>40</v>
      </c>
      <c r="G11" s="1" t="s">
        <v>243</v>
      </c>
      <c r="H11" s="67">
        <v>253</v>
      </c>
      <c r="K11" s="2" t="s">
        <v>262</v>
      </c>
      <c r="L11" s="2">
        <v>23</v>
      </c>
      <c r="M11" s="2" t="s">
        <v>222</v>
      </c>
      <c r="N11" s="2" t="s">
        <v>263</v>
      </c>
    </row>
    <row r="12" spans="1:16">
      <c r="A12" s="1" t="s">
        <v>241</v>
      </c>
      <c r="B12" s="67">
        <v>960</v>
      </c>
      <c r="D12" s="1" t="s">
        <v>241</v>
      </c>
      <c r="E12" s="67">
        <v>100</v>
      </c>
      <c r="G12" s="1" t="s">
        <v>241</v>
      </c>
      <c r="H12" s="67">
        <v>80</v>
      </c>
    </row>
    <row r="13" spans="1:16">
      <c r="A13" s="1" t="s">
        <v>242</v>
      </c>
      <c r="B13" s="67">
        <v>120</v>
      </c>
      <c r="D13" s="1" t="s">
        <v>242</v>
      </c>
      <c r="E13" s="67">
        <v>120</v>
      </c>
      <c r="G13" s="1" t="s">
        <v>242</v>
      </c>
      <c r="H13" s="67">
        <v>30</v>
      </c>
    </row>
    <row r="14" spans="1:16">
      <c r="A14" s="1" t="s">
        <v>239</v>
      </c>
      <c r="B14" s="67">
        <v>32</v>
      </c>
      <c r="D14" s="1" t="s">
        <v>239</v>
      </c>
      <c r="E14" s="67">
        <v>10</v>
      </c>
      <c r="G14" s="1" t="s">
        <v>239</v>
      </c>
      <c r="H14" s="67">
        <v>30</v>
      </c>
    </row>
    <row r="15" spans="1:16">
      <c r="A15" s="1" t="s">
        <v>239</v>
      </c>
      <c r="B15" s="67">
        <v>125</v>
      </c>
      <c r="D15" s="1" t="s">
        <v>239</v>
      </c>
      <c r="E15" s="67">
        <v>125</v>
      </c>
      <c r="G15" s="1" t="s">
        <v>239</v>
      </c>
      <c r="H15" s="67">
        <v>90</v>
      </c>
      <c r="K15" s="187" t="s">
        <v>264</v>
      </c>
      <c r="L15" s="187"/>
      <c r="M15" s="187"/>
      <c r="N15" s="187"/>
      <c r="O15" s="187"/>
      <c r="P15" s="187"/>
    </row>
    <row r="16" spans="1:16">
      <c r="A16" s="68" t="s">
        <v>244</v>
      </c>
      <c r="B16" s="69">
        <f>SUM(B2:B15)</f>
        <v>2349.9</v>
      </c>
      <c r="D16" s="68" t="s">
        <v>244</v>
      </c>
      <c r="E16" s="69">
        <f>SUM(E2:E15)</f>
        <v>1147.5</v>
      </c>
      <c r="G16" s="68" t="s">
        <v>244</v>
      </c>
      <c r="H16" s="69">
        <f>SUM(H2:H15)</f>
        <v>973</v>
      </c>
      <c r="K16" s="184">
        <f>COUNTIFS(L2:L11,"&lt;40",N2:N11,"*Excel*")</f>
        <v>6</v>
      </c>
      <c r="L16" s="184"/>
      <c r="M16" s="184"/>
      <c r="N16" s="184"/>
      <c r="O16" s="184"/>
      <c r="P16" s="184"/>
    </row>
    <row r="17" spans="1:14">
      <c r="K17" s="188" t="s">
        <v>265</v>
      </c>
      <c r="L17" s="189"/>
      <c r="M17" s="189"/>
      <c r="N17" s="190"/>
    </row>
    <row r="18" spans="1:14">
      <c r="K18" s="184">
        <f>COUNTIFS(M2:M11,"=M",L2:L11,"&gt;30")</f>
        <v>3</v>
      </c>
      <c r="L18" s="184"/>
      <c r="M18" s="184"/>
      <c r="N18" s="184"/>
    </row>
    <row r="19" spans="1:14">
      <c r="D19" s="1" t="s">
        <v>245</v>
      </c>
      <c r="E19" s="67">
        <f ca="1">SUMIF(A2:H15,"Calça",B2:H15)</f>
        <v>995.9</v>
      </c>
      <c r="K19" s="66" t="s">
        <v>266</v>
      </c>
      <c r="L19" s="185" t="s">
        <v>267</v>
      </c>
      <c r="M19" s="185"/>
      <c r="N19" s="185"/>
    </row>
    <row r="20" spans="1:14">
      <c r="D20" s="1" t="s">
        <v>241</v>
      </c>
      <c r="E20" s="1"/>
      <c r="K20" s="1">
        <f>COUNTIF(M2:M11,"=M")</f>
        <v>5</v>
      </c>
      <c r="L20" s="184">
        <f>COUNTIF(L2:L11,"&lt;=28")</f>
        <v>4</v>
      </c>
      <c r="M20" s="184"/>
      <c r="N20" s="184"/>
    </row>
    <row r="21" spans="1:14">
      <c r="D21" s="1" t="s">
        <v>238</v>
      </c>
      <c r="E21" s="1"/>
    </row>
    <row r="22" spans="1:14">
      <c r="D22" s="1" t="s">
        <v>242</v>
      </c>
      <c r="E22" s="1"/>
    </row>
    <row r="25" spans="1:14" ht="16.8">
      <c r="A25" s="116" t="s">
        <v>367</v>
      </c>
      <c r="B25" s="116" t="s">
        <v>6</v>
      </c>
      <c r="C25" s="116" t="s">
        <v>158</v>
      </c>
      <c r="D25" s="116" t="s">
        <v>425</v>
      </c>
      <c r="E25" s="116" t="s">
        <v>115</v>
      </c>
      <c r="F25" s="116" t="s">
        <v>426</v>
      </c>
      <c r="H25" s="117"/>
    </row>
    <row r="26" spans="1:14">
      <c r="A26" s="118" t="s">
        <v>258</v>
      </c>
      <c r="B26" s="118" t="s">
        <v>427</v>
      </c>
      <c r="C26" s="119" t="s">
        <v>53</v>
      </c>
      <c r="D26" s="119">
        <v>3</v>
      </c>
      <c r="E26" s="120">
        <v>14</v>
      </c>
      <c r="F26" s="120">
        <f t="shared" ref="F26:F54" si="0">D26*E26</f>
        <v>42</v>
      </c>
      <c r="H26" s="121"/>
    </row>
    <row r="27" spans="1:14">
      <c r="A27" s="118" t="s">
        <v>258</v>
      </c>
      <c r="B27" s="118" t="s">
        <v>428</v>
      </c>
      <c r="C27" s="119" t="s">
        <v>54</v>
      </c>
      <c r="D27" s="119">
        <v>20</v>
      </c>
      <c r="E27" s="120">
        <v>14</v>
      </c>
      <c r="F27" s="120">
        <f t="shared" si="0"/>
        <v>280</v>
      </c>
      <c r="H27" s="121"/>
    </row>
    <row r="28" spans="1:14">
      <c r="A28" s="118" t="s">
        <v>258</v>
      </c>
      <c r="B28" s="118" t="s">
        <v>429</v>
      </c>
      <c r="C28" s="119" t="s">
        <v>134</v>
      </c>
      <c r="D28" s="119">
        <v>4</v>
      </c>
      <c r="E28" s="120">
        <v>19</v>
      </c>
      <c r="F28" s="120">
        <f t="shared" si="0"/>
        <v>76</v>
      </c>
      <c r="H28" s="122"/>
    </row>
    <row r="29" spans="1:14">
      <c r="A29" s="118" t="s">
        <v>258</v>
      </c>
      <c r="B29" s="118" t="s">
        <v>430</v>
      </c>
      <c r="C29" s="119" t="s">
        <v>57</v>
      </c>
      <c r="D29" s="119">
        <v>5</v>
      </c>
      <c r="E29" s="120">
        <v>15</v>
      </c>
      <c r="F29" s="120">
        <f t="shared" si="0"/>
        <v>75</v>
      </c>
      <c r="H29" s="186"/>
      <c r="I29" s="186"/>
      <c r="J29" s="186"/>
      <c r="K29" s="186"/>
      <c r="L29" s="186"/>
    </row>
    <row r="30" spans="1:14">
      <c r="A30" s="118" t="s">
        <v>258</v>
      </c>
      <c r="B30" s="118" t="s">
        <v>431</v>
      </c>
      <c r="C30" s="119" t="s">
        <v>54</v>
      </c>
      <c r="D30" s="119">
        <v>14</v>
      </c>
      <c r="E30" s="120">
        <v>14</v>
      </c>
      <c r="F30" s="120">
        <f t="shared" si="0"/>
        <v>196</v>
      </c>
      <c r="H30" s="186"/>
      <c r="I30" s="186"/>
      <c r="J30" s="186"/>
      <c r="K30" s="186"/>
      <c r="L30" s="186"/>
    </row>
    <row r="31" spans="1:14">
      <c r="A31" s="118" t="s">
        <v>258</v>
      </c>
      <c r="B31" s="118" t="s">
        <v>431</v>
      </c>
      <c r="C31" s="119" t="s">
        <v>54</v>
      </c>
      <c r="D31" s="119">
        <v>8</v>
      </c>
      <c r="E31" s="120">
        <v>12</v>
      </c>
      <c r="F31" s="120">
        <f t="shared" si="0"/>
        <v>96</v>
      </c>
      <c r="H31" s="186"/>
      <c r="I31" s="186"/>
      <c r="J31" s="186"/>
      <c r="K31" s="186"/>
      <c r="L31" s="186"/>
    </row>
    <row r="32" spans="1:14">
      <c r="A32" s="118" t="s">
        <v>258</v>
      </c>
      <c r="B32" s="118" t="s">
        <v>431</v>
      </c>
      <c r="C32" s="119" t="s">
        <v>54</v>
      </c>
      <c r="D32" s="119">
        <v>16</v>
      </c>
      <c r="E32" s="120">
        <v>14</v>
      </c>
      <c r="F32" s="120">
        <f t="shared" si="0"/>
        <v>224</v>
      </c>
      <c r="H32" s="186"/>
      <c r="I32" s="186"/>
      <c r="J32" s="186"/>
      <c r="K32" s="186"/>
      <c r="L32" s="186"/>
    </row>
    <row r="33" spans="1:10">
      <c r="A33" s="118" t="s">
        <v>258</v>
      </c>
      <c r="B33" s="118" t="s">
        <v>431</v>
      </c>
      <c r="C33" s="119" t="s">
        <v>53</v>
      </c>
      <c r="D33" s="119">
        <v>90</v>
      </c>
      <c r="E33" s="120">
        <v>12</v>
      </c>
      <c r="F33" s="120">
        <f t="shared" si="0"/>
        <v>1080</v>
      </c>
    </row>
    <row r="34" spans="1:10">
      <c r="A34" s="118" t="s">
        <v>258</v>
      </c>
      <c r="B34" s="118" t="s">
        <v>431</v>
      </c>
      <c r="C34" s="119" t="s">
        <v>53</v>
      </c>
      <c r="D34" s="119">
        <v>18</v>
      </c>
      <c r="E34" s="120">
        <v>15</v>
      </c>
      <c r="F34" s="120">
        <f t="shared" si="0"/>
        <v>270</v>
      </c>
      <c r="H34" s="116" t="s">
        <v>367</v>
      </c>
      <c r="I34" s="123" t="s">
        <v>6</v>
      </c>
      <c r="J34" s="123" t="s">
        <v>432</v>
      </c>
    </row>
    <row r="35" spans="1:10">
      <c r="A35" s="118" t="s">
        <v>433</v>
      </c>
      <c r="B35" s="118" t="s">
        <v>427</v>
      </c>
      <c r="C35" s="119" t="s">
        <v>53</v>
      </c>
      <c r="D35" s="119">
        <v>6</v>
      </c>
      <c r="E35" s="120">
        <v>14</v>
      </c>
      <c r="F35" s="120">
        <f t="shared" si="0"/>
        <v>84</v>
      </c>
      <c r="H35" s="118" t="s">
        <v>433</v>
      </c>
      <c r="I35" s="118" t="s">
        <v>427</v>
      </c>
      <c r="J35" s="118">
        <f>SUMIFS(D26:D54,A26:A54,H35,B26:B54,I35)</f>
        <v>30</v>
      </c>
    </row>
    <row r="36" spans="1:10">
      <c r="A36" s="118" t="s">
        <v>433</v>
      </c>
      <c r="B36" s="118" t="s">
        <v>427</v>
      </c>
      <c r="C36" s="119" t="s">
        <v>134</v>
      </c>
      <c r="D36" s="119">
        <v>9</v>
      </c>
      <c r="E36" s="120">
        <v>18</v>
      </c>
      <c r="F36" s="120">
        <f t="shared" si="0"/>
        <v>162</v>
      </c>
    </row>
    <row r="37" spans="1:10">
      <c r="A37" s="118" t="s">
        <v>433</v>
      </c>
      <c r="B37" s="118" t="s">
        <v>427</v>
      </c>
      <c r="C37" s="119" t="s">
        <v>134</v>
      </c>
      <c r="D37" s="119">
        <v>15</v>
      </c>
      <c r="E37" s="120">
        <v>18</v>
      </c>
      <c r="F37" s="120">
        <f t="shared" si="0"/>
        <v>270</v>
      </c>
    </row>
    <row r="38" spans="1:10">
      <c r="A38" s="118" t="s">
        <v>433</v>
      </c>
      <c r="B38" s="118" t="s">
        <v>434</v>
      </c>
      <c r="C38" s="119" t="s">
        <v>134</v>
      </c>
      <c r="D38" s="119">
        <v>8</v>
      </c>
      <c r="E38" s="120">
        <v>26</v>
      </c>
      <c r="F38" s="120">
        <f t="shared" si="0"/>
        <v>208</v>
      </c>
      <c r="H38" s="116" t="s">
        <v>158</v>
      </c>
      <c r="I38" s="116" t="s">
        <v>6</v>
      </c>
      <c r="J38" s="116" t="s">
        <v>426</v>
      </c>
    </row>
    <row r="39" spans="1:10">
      <c r="A39" s="118" t="s">
        <v>433</v>
      </c>
      <c r="B39" s="118" t="s">
        <v>430</v>
      </c>
      <c r="C39" s="119" t="s">
        <v>53</v>
      </c>
      <c r="D39" s="119">
        <v>12</v>
      </c>
      <c r="E39" s="120">
        <v>15</v>
      </c>
      <c r="F39" s="120">
        <f t="shared" si="0"/>
        <v>180</v>
      </c>
      <c r="H39" s="118" t="s">
        <v>53</v>
      </c>
      <c r="I39" s="118" t="s">
        <v>435</v>
      </c>
      <c r="J39" s="118"/>
    </row>
    <row r="40" spans="1:10">
      <c r="A40" s="118" t="s">
        <v>433</v>
      </c>
      <c r="B40" s="118" t="s">
        <v>431</v>
      </c>
      <c r="C40" s="119" t="s">
        <v>134</v>
      </c>
      <c r="D40" s="119">
        <v>60</v>
      </c>
      <c r="E40" s="120">
        <v>12</v>
      </c>
      <c r="F40" s="120">
        <f t="shared" si="0"/>
        <v>720</v>
      </c>
    </row>
    <row r="41" spans="1:10">
      <c r="A41" s="118" t="s">
        <v>89</v>
      </c>
      <c r="B41" s="118" t="s">
        <v>427</v>
      </c>
      <c r="C41" s="119" t="s">
        <v>134</v>
      </c>
      <c r="D41" s="119">
        <v>6</v>
      </c>
      <c r="E41" s="120">
        <v>16</v>
      </c>
      <c r="F41" s="120">
        <f t="shared" si="0"/>
        <v>96</v>
      </c>
      <c r="H41" s="116" t="s">
        <v>367</v>
      </c>
      <c r="I41" s="123" t="s">
        <v>158</v>
      </c>
      <c r="J41" s="123" t="s">
        <v>426</v>
      </c>
    </row>
    <row r="42" spans="1:10">
      <c r="A42" s="118" t="s">
        <v>89</v>
      </c>
      <c r="B42" s="118" t="s">
        <v>427</v>
      </c>
      <c r="C42" s="119" t="s">
        <v>54</v>
      </c>
      <c r="D42" s="119">
        <v>19</v>
      </c>
      <c r="E42" s="120">
        <v>11</v>
      </c>
      <c r="F42" s="120">
        <f t="shared" si="0"/>
        <v>209</v>
      </c>
      <c r="H42" s="118" t="s">
        <v>258</v>
      </c>
      <c r="I42" s="118" t="s">
        <v>54</v>
      </c>
      <c r="J42" s="118"/>
    </row>
    <row r="43" spans="1:10">
      <c r="A43" s="118" t="s">
        <v>89</v>
      </c>
      <c r="B43" s="118" t="s">
        <v>434</v>
      </c>
      <c r="C43" s="119" t="s">
        <v>57</v>
      </c>
      <c r="D43" s="119">
        <v>16</v>
      </c>
      <c r="E43" s="120">
        <v>16</v>
      </c>
      <c r="F43" s="120">
        <f t="shared" si="0"/>
        <v>256</v>
      </c>
    </row>
    <row r="44" spans="1:10">
      <c r="A44" s="118" t="s">
        <v>89</v>
      </c>
      <c r="B44" s="118" t="s">
        <v>434</v>
      </c>
      <c r="C44" s="119" t="s">
        <v>53</v>
      </c>
      <c r="D44" s="119">
        <v>9</v>
      </c>
      <c r="E44" s="120">
        <v>12</v>
      </c>
      <c r="F44" s="120">
        <f t="shared" si="0"/>
        <v>108</v>
      </c>
    </row>
    <row r="45" spans="1:10">
      <c r="A45" s="118" t="s">
        <v>89</v>
      </c>
      <c r="B45" s="118" t="s">
        <v>429</v>
      </c>
      <c r="C45" s="119" t="s">
        <v>53</v>
      </c>
      <c r="D45" s="119">
        <v>45</v>
      </c>
      <c r="E45" s="120">
        <v>17</v>
      </c>
      <c r="F45" s="120">
        <f t="shared" si="0"/>
        <v>765</v>
      </c>
    </row>
    <row r="46" spans="1:10">
      <c r="A46" s="118" t="s">
        <v>89</v>
      </c>
      <c r="B46" s="118" t="s">
        <v>429</v>
      </c>
      <c r="C46" s="119" t="s">
        <v>53</v>
      </c>
      <c r="D46" s="119">
        <v>15</v>
      </c>
      <c r="E46" s="120">
        <v>15</v>
      </c>
      <c r="F46" s="120">
        <f t="shared" si="0"/>
        <v>225</v>
      </c>
    </row>
    <row r="47" spans="1:10">
      <c r="A47" s="118" t="s">
        <v>89</v>
      </c>
      <c r="B47" s="118" t="s">
        <v>431</v>
      </c>
      <c r="C47" s="119" t="s">
        <v>57</v>
      </c>
      <c r="D47" s="119">
        <v>18</v>
      </c>
      <c r="E47" s="120">
        <v>18</v>
      </c>
      <c r="F47" s="120">
        <f t="shared" si="0"/>
        <v>324</v>
      </c>
    </row>
    <row r="48" spans="1:10">
      <c r="A48" s="118" t="s">
        <v>436</v>
      </c>
      <c r="B48" s="118" t="s">
        <v>428</v>
      </c>
      <c r="C48" s="119" t="s">
        <v>53</v>
      </c>
      <c r="D48" s="119">
        <v>42</v>
      </c>
      <c r="E48" s="120">
        <v>15</v>
      </c>
      <c r="F48" s="120">
        <f t="shared" si="0"/>
        <v>630</v>
      </c>
    </row>
    <row r="49" spans="1:6">
      <c r="A49" s="118" t="s">
        <v>436</v>
      </c>
      <c r="B49" s="118" t="s">
        <v>434</v>
      </c>
      <c r="C49" s="119" t="s">
        <v>134</v>
      </c>
      <c r="D49" s="119">
        <v>18</v>
      </c>
      <c r="E49" s="120">
        <v>13</v>
      </c>
      <c r="F49" s="120">
        <f t="shared" si="0"/>
        <v>234</v>
      </c>
    </row>
    <row r="50" spans="1:6">
      <c r="A50" s="118" t="s">
        <v>436</v>
      </c>
      <c r="B50" s="118" t="s">
        <v>434</v>
      </c>
      <c r="C50" s="119" t="s">
        <v>134</v>
      </c>
      <c r="D50" s="119">
        <v>20</v>
      </c>
      <c r="E50" s="120">
        <v>11</v>
      </c>
      <c r="F50" s="120">
        <f t="shared" si="0"/>
        <v>220</v>
      </c>
    </row>
    <row r="51" spans="1:6">
      <c r="A51" s="118" t="s">
        <v>436</v>
      </c>
      <c r="B51" s="118" t="s">
        <v>429</v>
      </c>
      <c r="C51" s="119" t="s">
        <v>57</v>
      </c>
      <c r="D51" s="119">
        <v>5</v>
      </c>
      <c r="E51" s="120">
        <v>13</v>
      </c>
      <c r="F51" s="120">
        <f t="shared" si="0"/>
        <v>65</v>
      </c>
    </row>
    <row r="52" spans="1:6">
      <c r="A52" s="118" t="s">
        <v>436</v>
      </c>
      <c r="B52" s="118" t="s">
        <v>430</v>
      </c>
      <c r="C52" s="119" t="s">
        <v>54</v>
      </c>
      <c r="D52" s="119">
        <v>13</v>
      </c>
      <c r="E52" s="120">
        <v>16</v>
      </c>
      <c r="F52" s="120">
        <f t="shared" si="0"/>
        <v>208</v>
      </c>
    </row>
    <row r="53" spans="1:6">
      <c r="A53" s="118" t="s">
        <v>436</v>
      </c>
      <c r="B53" s="118" t="s">
        <v>430</v>
      </c>
      <c r="C53" s="119" t="s">
        <v>53</v>
      </c>
      <c r="D53" s="119">
        <v>13</v>
      </c>
      <c r="E53" s="120">
        <v>11</v>
      </c>
      <c r="F53" s="120">
        <f t="shared" si="0"/>
        <v>143</v>
      </c>
    </row>
    <row r="54" spans="1:6">
      <c r="A54" s="118" t="s">
        <v>436</v>
      </c>
      <c r="B54" s="118" t="s">
        <v>431</v>
      </c>
      <c r="C54" s="119" t="s">
        <v>54</v>
      </c>
      <c r="D54" s="119">
        <v>8</v>
      </c>
      <c r="E54" s="120">
        <v>9</v>
      </c>
      <c r="F54" s="120">
        <f t="shared" si="0"/>
        <v>72</v>
      </c>
    </row>
    <row r="55" spans="1:6">
      <c r="A55" s="124"/>
      <c r="B55" s="124"/>
      <c r="C55" s="124"/>
      <c r="D55" s="124"/>
      <c r="E55" s="124"/>
      <c r="F55" s="124"/>
    </row>
  </sheetData>
  <mergeCells count="10">
    <mergeCell ref="K18:N18"/>
    <mergeCell ref="L19:N19"/>
    <mergeCell ref="L20:N20"/>
    <mergeCell ref="H29:L32"/>
    <mergeCell ref="A1:B1"/>
    <mergeCell ref="D1:E1"/>
    <mergeCell ref="G1:H1"/>
    <mergeCell ref="K15:P15"/>
    <mergeCell ref="K16:P16"/>
    <mergeCell ref="K17:N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BB4-95B8-4CCC-BA61-6BB542D5CD9C}">
  <sheetPr>
    <tabColor theme="9" tint="-0.249977111117893"/>
  </sheetPr>
  <dimension ref="A4:R45"/>
  <sheetViews>
    <sheetView topLeftCell="A22" workbookViewId="0">
      <selection activeCell="R8" sqref="R8"/>
    </sheetView>
  </sheetViews>
  <sheetFormatPr defaultRowHeight="14.4"/>
  <cols>
    <col min="1" max="1" width="9.33203125" bestFit="1" customWidth="1"/>
    <col min="2" max="2" width="27.5546875" bestFit="1" customWidth="1"/>
    <col min="3" max="3" width="17.6640625" bestFit="1" customWidth="1"/>
    <col min="4" max="4" width="15.109375" bestFit="1" customWidth="1"/>
    <col min="5" max="5" width="7.109375" bestFit="1" customWidth="1"/>
    <col min="6" max="6" width="10.109375" bestFit="1" customWidth="1"/>
    <col min="10" max="10" width="14.5546875" bestFit="1" customWidth="1"/>
    <col min="11" max="11" width="6.109375" customWidth="1"/>
    <col min="13" max="13" width="9.109375" customWidth="1"/>
    <col min="17" max="17" width="23" bestFit="1" customWidth="1"/>
    <col min="18" max="18" width="29.5546875" customWidth="1"/>
  </cols>
  <sheetData>
    <row r="4" spans="1:18">
      <c r="A4" s="191" t="s">
        <v>281</v>
      </c>
      <c r="B4" s="191"/>
      <c r="C4" s="191"/>
      <c r="D4" s="75"/>
      <c r="E4" s="192" t="s">
        <v>282</v>
      </c>
      <c r="F4" s="192"/>
      <c r="G4" s="192"/>
      <c r="H4" s="75"/>
    </row>
    <row r="6" spans="1:18">
      <c r="A6" s="76" t="s">
        <v>5</v>
      </c>
      <c r="B6" s="77" t="s">
        <v>47</v>
      </c>
      <c r="C6" s="77" t="s">
        <v>283</v>
      </c>
      <c r="D6" s="75"/>
      <c r="E6" s="76" t="s">
        <v>5</v>
      </c>
      <c r="F6" s="78" t="s">
        <v>47</v>
      </c>
      <c r="G6" s="78" t="s">
        <v>115</v>
      </c>
      <c r="H6" s="75"/>
    </row>
    <row r="7" spans="1:18" ht="15" thickBot="1">
      <c r="A7" s="79">
        <v>50</v>
      </c>
      <c r="B7" s="80" t="s">
        <v>284</v>
      </c>
      <c r="C7" s="81">
        <v>5200</v>
      </c>
      <c r="D7" s="75"/>
      <c r="E7" s="79">
        <v>90</v>
      </c>
      <c r="F7" s="80" t="str">
        <f>VLOOKUP(E7,A6:C10,2,FALSE)</f>
        <v>Marketing</v>
      </c>
      <c r="G7" s="80">
        <f>VLOOKUP(E7,A6:C10,3,FALSE)</f>
        <v>9300</v>
      </c>
      <c r="H7" s="82" t="s">
        <v>285</v>
      </c>
    </row>
    <row r="8" spans="1:18" ht="21.6" thickBot="1">
      <c r="A8" s="79">
        <v>35</v>
      </c>
      <c r="B8" s="80" t="s">
        <v>286</v>
      </c>
      <c r="C8" s="81">
        <v>7300</v>
      </c>
      <c r="D8" s="75"/>
      <c r="E8" s="83"/>
      <c r="F8" s="83"/>
      <c r="G8" s="83"/>
      <c r="H8" s="75"/>
      <c r="Q8" s="87" t="s">
        <v>289</v>
      </c>
      <c r="R8" s="88">
        <v>5</v>
      </c>
    </row>
    <row r="9" spans="1:18" ht="21.6" thickBot="1">
      <c r="A9" s="79">
        <v>20</v>
      </c>
      <c r="B9" s="80" t="s">
        <v>287</v>
      </c>
      <c r="C9" s="81">
        <v>5400</v>
      </c>
      <c r="D9" s="75"/>
      <c r="E9" s="83"/>
      <c r="F9" s="84"/>
      <c r="G9" s="84"/>
      <c r="H9" s="75"/>
      <c r="Q9" s="89"/>
      <c r="R9" s="90"/>
    </row>
    <row r="10" spans="1:18" ht="21.6" thickBot="1">
      <c r="A10" s="79">
        <v>90</v>
      </c>
      <c r="B10" s="80" t="s">
        <v>288</v>
      </c>
      <c r="C10" s="81">
        <v>9300</v>
      </c>
      <c r="D10" s="75"/>
      <c r="E10" s="75"/>
      <c r="F10" s="75"/>
      <c r="G10" s="75"/>
      <c r="H10" s="75"/>
      <c r="Q10" s="91" t="s">
        <v>290</v>
      </c>
      <c r="R10" s="92"/>
    </row>
    <row r="11" spans="1:18" ht="21.6" thickBot="1">
      <c r="A11" s="75"/>
      <c r="B11" s="75"/>
      <c r="C11" s="75"/>
      <c r="D11" s="75"/>
      <c r="E11" s="85"/>
      <c r="F11" s="86"/>
      <c r="G11" s="83"/>
      <c r="H11" s="75"/>
      <c r="Q11" s="93" t="s">
        <v>291</v>
      </c>
      <c r="R11" s="92"/>
    </row>
    <row r="12" spans="1:18" ht="21.6" thickBot="1">
      <c r="A12" s="84"/>
      <c r="B12" s="84"/>
      <c r="C12" s="84"/>
      <c r="D12" s="75"/>
      <c r="E12" s="85"/>
      <c r="F12" s="86"/>
      <c r="G12" s="83"/>
      <c r="H12" s="75"/>
      <c r="Q12" s="93" t="s">
        <v>292</v>
      </c>
      <c r="R12" s="92"/>
    </row>
    <row r="13" spans="1:18" ht="21.6" thickBot="1">
      <c r="A13" s="84">
        <v>1</v>
      </c>
      <c r="B13" s="84">
        <v>2</v>
      </c>
      <c r="C13" s="84">
        <v>3</v>
      </c>
      <c r="Q13" s="93" t="s">
        <v>293</v>
      </c>
      <c r="R13" s="92"/>
    </row>
    <row r="14" spans="1:18" ht="21.6" thickBot="1">
      <c r="Q14" s="93" t="s">
        <v>294</v>
      </c>
      <c r="R14" s="92"/>
    </row>
    <row r="15" spans="1:18" ht="21.6" thickBot="1">
      <c r="Q15" s="93" t="s">
        <v>295</v>
      </c>
      <c r="R15" s="92"/>
    </row>
    <row r="16" spans="1:18" ht="21.6" thickBot="1">
      <c r="Q16" s="93" t="s">
        <v>296</v>
      </c>
      <c r="R16" s="92"/>
    </row>
    <row r="17" spans="1:18" ht="21.6" thickBot="1">
      <c r="Q17" s="94" t="s">
        <v>297</v>
      </c>
      <c r="R17" s="92"/>
    </row>
    <row r="29" spans="1:18">
      <c r="A29" s="35" t="s">
        <v>47</v>
      </c>
      <c r="B29" s="35" t="s">
        <v>48</v>
      </c>
      <c r="C29" s="35" t="s">
        <v>157</v>
      </c>
      <c r="D29" s="35" t="s">
        <v>49</v>
      </c>
      <c r="E29" s="35" t="s">
        <v>158</v>
      </c>
    </row>
    <row r="30" spans="1:18">
      <c r="A30" s="1" t="s">
        <v>64</v>
      </c>
      <c r="B30" s="1" t="s">
        <v>159</v>
      </c>
      <c r="C30" s="1" t="s">
        <v>160</v>
      </c>
      <c r="D30" s="1" t="s">
        <v>161</v>
      </c>
      <c r="E30" s="2" t="s">
        <v>53</v>
      </c>
      <c r="I30" s="60" t="s">
        <v>206</v>
      </c>
      <c r="L30" s="60" t="s">
        <v>207</v>
      </c>
    </row>
    <row r="31" spans="1:18" ht="15" thickBot="1">
      <c r="A31" s="1" t="s">
        <v>89</v>
      </c>
      <c r="B31" s="1" t="s">
        <v>162</v>
      </c>
      <c r="C31" s="1" t="s">
        <v>163</v>
      </c>
      <c r="D31" s="1" t="s">
        <v>164</v>
      </c>
      <c r="E31" s="2" t="s">
        <v>53</v>
      </c>
      <c r="I31" s="60"/>
      <c r="L31" s="60"/>
    </row>
    <row r="32" spans="1:18">
      <c r="A32" s="1" t="s">
        <v>165</v>
      </c>
      <c r="B32" s="1" t="s">
        <v>166</v>
      </c>
      <c r="C32" s="1" t="s">
        <v>160</v>
      </c>
      <c r="D32" s="1" t="s">
        <v>167</v>
      </c>
      <c r="E32" s="2" t="s">
        <v>56</v>
      </c>
      <c r="I32" s="8" t="s">
        <v>6</v>
      </c>
      <c r="J32" s="61" t="s">
        <v>208</v>
      </c>
      <c r="L32" s="8" t="s">
        <v>209</v>
      </c>
      <c r="M32" s="9" t="s">
        <v>210</v>
      </c>
      <c r="N32" s="9" t="s">
        <v>211</v>
      </c>
      <c r="O32" s="61" t="s">
        <v>212</v>
      </c>
    </row>
    <row r="33" spans="1:15">
      <c r="A33" s="1" t="s">
        <v>79</v>
      </c>
      <c r="B33" s="1" t="s">
        <v>168</v>
      </c>
      <c r="C33" s="1" t="s">
        <v>169</v>
      </c>
      <c r="D33" s="1" t="s">
        <v>170</v>
      </c>
      <c r="E33" s="2" t="s">
        <v>53</v>
      </c>
      <c r="I33" s="10" t="s">
        <v>209</v>
      </c>
      <c r="J33" s="11"/>
      <c r="L33" s="10">
        <v>5.6</v>
      </c>
      <c r="M33">
        <v>8.6</v>
      </c>
      <c r="N33">
        <v>1.25</v>
      </c>
      <c r="O33" s="11">
        <v>9.5</v>
      </c>
    </row>
    <row r="34" spans="1:15">
      <c r="A34" s="1" t="s">
        <v>171</v>
      </c>
      <c r="B34" s="1" t="s">
        <v>172</v>
      </c>
      <c r="C34" s="1" t="s">
        <v>173</v>
      </c>
      <c r="D34" s="1" t="s">
        <v>174</v>
      </c>
      <c r="E34" s="2" t="s">
        <v>53</v>
      </c>
      <c r="I34" s="10" t="s">
        <v>213</v>
      </c>
      <c r="J34" s="11"/>
      <c r="L34" s="10"/>
      <c r="O34" s="11"/>
    </row>
    <row r="35" spans="1:15">
      <c r="A35" s="1" t="s">
        <v>58</v>
      </c>
      <c r="B35" s="1" t="s">
        <v>175</v>
      </c>
      <c r="C35" s="1" t="s">
        <v>176</v>
      </c>
      <c r="D35" s="1" t="s">
        <v>170</v>
      </c>
      <c r="E35" s="2" t="s">
        <v>53</v>
      </c>
      <c r="I35" s="10" t="s">
        <v>211</v>
      </c>
      <c r="J35" s="11"/>
      <c r="L35" s="10"/>
      <c r="O35" s="11"/>
    </row>
    <row r="36" spans="1:15" ht="15" thickBot="1">
      <c r="A36" s="1" t="s">
        <v>177</v>
      </c>
      <c r="B36" s="1" t="s">
        <v>178</v>
      </c>
      <c r="C36" s="1" t="s">
        <v>179</v>
      </c>
      <c r="D36" s="1" t="s">
        <v>164</v>
      </c>
      <c r="E36" s="2" t="s">
        <v>53</v>
      </c>
      <c r="I36" s="62" t="s">
        <v>212</v>
      </c>
      <c r="J36" s="63"/>
      <c r="L36" s="64"/>
      <c r="M36" s="65"/>
      <c r="N36" s="65"/>
      <c r="O36" s="63"/>
    </row>
    <row r="37" spans="1:15">
      <c r="A37" s="1" t="s">
        <v>180</v>
      </c>
      <c r="B37" s="1" t="s">
        <v>181</v>
      </c>
      <c r="C37" s="1" t="s">
        <v>160</v>
      </c>
      <c r="D37" s="1" t="s">
        <v>182</v>
      </c>
      <c r="E37" s="2" t="s">
        <v>54</v>
      </c>
    </row>
    <row r="38" spans="1:15">
      <c r="A38" s="1" t="s">
        <v>77</v>
      </c>
      <c r="B38" s="1" t="s">
        <v>183</v>
      </c>
      <c r="C38" s="1" t="s">
        <v>184</v>
      </c>
      <c r="D38" s="1" t="s">
        <v>14</v>
      </c>
      <c r="E38" s="2" t="s">
        <v>57</v>
      </c>
    </row>
    <row r="39" spans="1:15">
      <c r="A39" s="1" t="s">
        <v>185</v>
      </c>
      <c r="B39" s="1" t="s">
        <v>186</v>
      </c>
      <c r="C39" s="1" t="s">
        <v>187</v>
      </c>
      <c r="D39" s="1" t="s">
        <v>188</v>
      </c>
      <c r="E39" s="2" t="s">
        <v>55</v>
      </c>
    </row>
    <row r="41" spans="1:15">
      <c r="A41" s="34" t="s">
        <v>47</v>
      </c>
      <c r="B41" s="2" t="s">
        <v>180</v>
      </c>
      <c r="C41" s="2" t="s">
        <v>58</v>
      </c>
      <c r="D41" s="184" t="s">
        <v>64</v>
      </c>
      <c r="E41" s="184"/>
    </row>
    <row r="42" spans="1:15">
      <c r="A42" s="34" t="s">
        <v>48</v>
      </c>
      <c r="B42" s="1"/>
      <c r="C42" s="1"/>
      <c r="D42" s="184"/>
      <c r="E42" s="184"/>
    </row>
    <row r="43" spans="1:15">
      <c r="A43" s="34" t="s">
        <v>157</v>
      </c>
      <c r="B43" s="1"/>
      <c r="C43" s="1"/>
      <c r="D43" s="184"/>
      <c r="E43" s="184"/>
    </row>
    <row r="44" spans="1:15">
      <c r="A44" s="34" t="s">
        <v>189</v>
      </c>
      <c r="B44" s="1"/>
      <c r="C44" s="1"/>
      <c r="D44" s="184"/>
      <c r="E44" s="184"/>
    </row>
    <row r="45" spans="1:15">
      <c r="A45" s="34" t="s">
        <v>158</v>
      </c>
      <c r="B45" s="1"/>
      <c r="C45" s="1"/>
      <c r="D45" s="184"/>
      <c r="E45" s="184"/>
    </row>
  </sheetData>
  <mergeCells count="7">
    <mergeCell ref="D44:E44"/>
    <mergeCell ref="D45:E45"/>
    <mergeCell ref="A4:C4"/>
    <mergeCell ref="E4:G4"/>
    <mergeCell ref="D41:E41"/>
    <mergeCell ref="D42:E42"/>
    <mergeCell ref="D43:E43"/>
  </mergeCells>
  <dataValidations count="1">
    <dataValidation type="list" allowBlank="1" showInputMessage="1" showErrorMessage="1" sqref="R8" xr:uid="{294504E5-D2B5-44D3-A260-2709C869D2F0}">
      <formula1>cod_cliente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1CA3-0B66-49C6-BDA7-D64CA23719BD}">
  <dimension ref="A1:J18"/>
  <sheetViews>
    <sheetView workbookViewId="0">
      <selection activeCell="B22" sqref="B21:B22"/>
    </sheetView>
  </sheetViews>
  <sheetFormatPr defaultRowHeight="14.4"/>
  <cols>
    <col min="1" max="10" width="19" customWidth="1"/>
  </cols>
  <sheetData>
    <row r="1" spans="1:10" ht="15" thickBot="1">
      <c r="A1" s="95" t="s">
        <v>5</v>
      </c>
      <c r="B1" s="95" t="s">
        <v>135</v>
      </c>
      <c r="C1" s="95" t="s">
        <v>298</v>
      </c>
      <c r="D1" s="95" t="s">
        <v>48</v>
      </c>
      <c r="E1" s="95" t="s">
        <v>157</v>
      </c>
      <c r="F1" s="95" t="s">
        <v>49</v>
      </c>
      <c r="G1" s="95" t="s">
        <v>50</v>
      </c>
      <c r="H1" s="95" t="s">
        <v>299</v>
      </c>
      <c r="I1" s="95" t="s">
        <v>52</v>
      </c>
      <c r="J1" s="96" t="s">
        <v>300</v>
      </c>
    </row>
    <row r="2" spans="1:10">
      <c r="A2" s="97">
        <v>1</v>
      </c>
      <c r="B2" s="98">
        <v>44409</v>
      </c>
      <c r="C2" s="97" t="s">
        <v>301</v>
      </c>
      <c r="D2" s="97" t="s">
        <v>302</v>
      </c>
      <c r="E2" s="97" t="s">
        <v>303</v>
      </c>
      <c r="F2" s="97" t="s">
        <v>194</v>
      </c>
      <c r="G2" s="97" t="s">
        <v>53</v>
      </c>
      <c r="H2" s="97" t="s">
        <v>304</v>
      </c>
      <c r="I2" s="97">
        <v>1169845263</v>
      </c>
      <c r="J2" s="99">
        <v>150</v>
      </c>
    </row>
    <row r="3" spans="1:10">
      <c r="A3" s="100">
        <v>2</v>
      </c>
      <c r="B3" s="101">
        <v>44409</v>
      </c>
      <c r="C3" s="100" t="s">
        <v>305</v>
      </c>
      <c r="D3" s="100" t="s">
        <v>306</v>
      </c>
      <c r="E3" s="100" t="s">
        <v>307</v>
      </c>
      <c r="F3" s="100" t="s">
        <v>194</v>
      </c>
      <c r="G3" s="100" t="s">
        <v>53</v>
      </c>
      <c r="H3" s="100" t="s">
        <v>304</v>
      </c>
      <c r="I3" s="100">
        <v>1152848967</v>
      </c>
      <c r="J3" s="102">
        <v>2634.25</v>
      </c>
    </row>
    <row r="4" spans="1:10">
      <c r="A4" s="103">
        <v>3</v>
      </c>
      <c r="B4" s="104">
        <v>44413</v>
      </c>
      <c r="C4" s="103" t="s">
        <v>308</v>
      </c>
      <c r="D4" s="103" t="s">
        <v>309</v>
      </c>
      <c r="E4" s="103" t="s">
        <v>310</v>
      </c>
      <c r="F4" s="103" t="s">
        <v>194</v>
      </c>
      <c r="G4" s="103" t="s">
        <v>53</v>
      </c>
      <c r="H4" s="103" t="s">
        <v>304</v>
      </c>
      <c r="I4" s="103">
        <v>1125493816</v>
      </c>
      <c r="J4" s="105">
        <v>1608</v>
      </c>
    </row>
    <row r="5" spans="1:10">
      <c r="A5" s="100">
        <v>4</v>
      </c>
      <c r="B5" s="101">
        <v>44420</v>
      </c>
      <c r="C5" s="100" t="s">
        <v>311</v>
      </c>
      <c r="D5" s="100" t="s">
        <v>312</v>
      </c>
      <c r="E5" s="100" t="s">
        <v>313</v>
      </c>
      <c r="F5" s="100" t="s">
        <v>194</v>
      </c>
      <c r="G5" s="100" t="s">
        <v>53</v>
      </c>
      <c r="H5" s="100" t="s">
        <v>304</v>
      </c>
      <c r="I5" s="100">
        <v>1182468531</v>
      </c>
      <c r="J5" s="102">
        <v>73.319999999999993</v>
      </c>
    </row>
    <row r="6" spans="1:10">
      <c r="A6" s="103">
        <v>5</v>
      </c>
      <c r="B6" s="104">
        <v>44420</v>
      </c>
      <c r="C6" s="103" t="s">
        <v>314</v>
      </c>
      <c r="D6" s="103" t="s">
        <v>315</v>
      </c>
      <c r="E6" s="103" t="s">
        <v>316</v>
      </c>
      <c r="F6" s="103" t="s">
        <v>194</v>
      </c>
      <c r="G6" s="103" t="s">
        <v>53</v>
      </c>
      <c r="H6" s="103" t="s">
        <v>304</v>
      </c>
      <c r="I6" s="103">
        <v>1164288213</v>
      </c>
      <c r="J6" s="105">
        <v>777</v>
      </c>
    </row>
    <row r="7" spans="1:10">
      <c r="A7" s="100">
        <v>6</v>
      </c>
      <c r="B7" s="101">
        <v>44420</v>
      </c>
      <c r="C7" s="100" t="s">
        <v>317</v>
      </c>
      <c r="D7" s="100" t="s">
        <v>318</v>
      </c>
      <c r="E7" s="100" t="s">
        <v>319</v>
      </c>
      <c r="F7" s="100" t="s">
        <v>194</v>
      </c>
      <c r="G7" s="100" t="s">
        <v>53</v>
      </c>
      <c r="H7" s="100" t="s">
        <v>304</v>
      </c>
      <c r="I7" s="100">
        <v>1154263232</v>
      </c>
      <c r="J7" s="102">
        <v>180</v>
      </c>
    </row>
    <row r="8" spans="1:10" ht="15" thickBot="1">
      <c r="A8" s="103">
        <v>7</v>
      </c>
      <c r="B8" s="104">
        <v>44429</v>
      </c>
      <c r="C8" s="103" t="s">
        <v>320</v>
      </c>
      <c r="D8" s="103" t="s">
        <v>321</v>
      </c>
      <c r="E8" s="103" t="s">
        <v>322</v>
      </c>
      <c r="F8" s="103" t="s">
        <v>194</v>
      </c>
      <c r="G8" s="103" t="s">
        <v>53</v>
      </c>
      <c r="H8" s="103" t="s">
        <v>304</v>
      </c>
      <c r="I8" s="103">
        <v>1125523654</v>
      </c>
      <c r="J8" s="105">
        <v>264.2</v>
      </c>
    </row>
    <row r="9" spans="1:10">
      <c r="A9" s="100">
        <v>8</v>
      </c>
      <c r="B9" s="98">
        <v>44409</v>
      </c>
      <c r="C9" s="100" t="s">
        <v>323</v>
      </c>
      <c r="D9" s="100" t="s">
        <v>324</v>
      </c>
      <c r="E9" s="100" t="s">
        <v>325</v>
      </c>
      <c r="F9" s="100" t="s">
        <v>194</v>
      </c>
      <c r="G9" s="100" t="s">
        <v>53</v>
      </c>
      <c r="H9" s="100" t="s">
        <v>304</v>
      </c>
      <c r="I9" s="100">
        <v>1139667847</v>
      </c>
      <c r="J9" s="102">
        <v>3824</v>
      </c>
    </row>
    <row r="10" spans="1:10">
      <c r="A10" s="103">
        <v>9</v>
      </c>
      <c r="B10" s="101">
        <v>44409</v>
      </c>
      <c r="C10" s="103" t="s">
        <v>326</v>
      </c>
      <c r="D10" s="103" t="s">
        <v>327</v>
      </c>
      <c r="E10" s="103" t="s">
        <v>328</v>
      </c>
      <c r="F10" s="103" t="s">
        <v>194</v>
      </c>
      <c r="G10" s="103" t="s">
        <v>53</v>
      </c>
      <c r="H10" s="103" t="s">
        <v>304</v>
      </c>
      <c r="I10" s="103">
        <v>1185648585</v>
      </c>
      <c r="J10" s="105">
        <v>867</v>
      </c>
    </row>
    <row r="11" spans="1:10">
      <c r="A11" s="100">
        <v>10</v>
      </c>
      <c r="B11" s="104">
        <v>44413</v>
      </c>
      <c r="C11" s="100" t="s">
        <v>329</v>
      </c>
      <c r="D11" s="100" t="s">
        <v>330</v>
      </c>
      <c r="E11" s="100" t="s">
        <v>331</v>
      </c>
      <c r="F11" s="100" t="s">
        <v>194</v>
      </c>
      <c r="G11" s="100" t="s">
        <v>53</v>
      </c>
      <c r="H11" s="100" t="s">
        <v>304</v>
      </c>
      <c r="I11" s="100">
        <v>1123667784</v>
      </c>
      <c r="J11" s="102">
        <v>1200</v>
      </c>
    </row>
    <row r="12" spans="1:10">
      <c r="A12" s="103">
        <v>11</v>
      </c>
      <c r="B12" s="101">
        <v>44420</v>
      </c>
      <c r="C12" s="103" t="s">
        <v>332</v>
      </c>
      <c r="D12" s="103" t="s">
        <v>333</v>
      </c>
      <c r="E12" s="103" t="s">
        <v>307</v>
      </c>
      <c r="F12" s="103" t="s">
        <v>194</v>
      </c>
      <c r="G12" s="103" t="s">
        <v>53</v>
      </c>
      <c r="H12" s="103" t="s">
        <v>304</v>
      </c>
      <c r="I12" s="103">
        <v>1125229597</v>
      </c>
      <c r="J12" s="105">
        <v>325</v>
      </c>
    </row>
    <row r="13" spans="1:10">
      <c r="A13" s="100">
        <v>12</v>
      </c>
      <c r="B13" s="104">
        <v>44420</v>
      </c>
      <c r="C13" s="100" t="s">
        <v>334</v>
      </c>
      <c r="D13" s="100" t="s">
        <v>335</v>
      </c>
      <c r="E13" s="100" t="s">
        <v>336</v>
      </c>
      <c r="F13" s="100" t="s">
        <v>194</v>
      </c>
      <c r="G13" s="100" t="s">
        <v>53</v>
      </c>
      <c r="H13" s="100" t="s">
        <v>304</v>
      </c>
      <c r="I13" s="100">
        <v>1185981681</v>
      </c>
      <c r="J13" s="102">
        <v>4850</v>
      </c>
    </row>
    <row r="14" spans="1:10">
      <c r="A14" s="103">
        <v>13</v>
      </c>
      <c r="B14" s="101">
        <v>44420</v>
      </c>
      <c r="C14" s="103" t="s">
        <v>337</v>
      </c>
      <c r="D14" s="103" t="s">
        <v>338</v>
      </c>
      <c r="E14" s="103" t="s">
        <v>339</v>
      </c>
      <c r="F14" s="103" t="s">
        <v>194</v>
      </c>
      <c r="G14" s="103" t="s">
        <v>53</v>
      </c>
      <c r="H14" s="103" t="s">
        <v>304</v>
      </c>
      <c r="I14" s="103">
        <v>1171667087</v>
      </c>
      <c r="J14" s="105">
        <v>954</v>
      </c>
    </row>
    <row r="15" spans="1:10" ht="15" thickBot="1">
      <c r="A15" s="100">
        <v>14</v>
      </c>
      <c r="B15" s="104">
        <v>44429</v>
      </c>
      <c r="C15" s="100" t="s">
        <v>340</v>
      </c>
      <c r="D15" s="100" t="s">
        <v>341</v>
      </c>
      <c r="E15" s="100" t="s">
        <v>342</v>
      </c>
      <c r="F15" s="100" t="s">
        <v>194</v>
      </c>
      <c r="G15" s="100" t="s">
        <v>53</v>
      </c>
      <c r="H15" s="100" t="s">
        <v>304</v>
      </c>
      <c r="I15" s="100">
        <v>1165599867</v>
      </c>
      <c r="J15" s="102">
        <v>1600.84</v>
      </c>
    </row>
    <row r="16" spans="1:10">
      <c r="A16" s="103">
        <v>15</v>
      </c>
      <c r="B16" s="98">
        <v>44409</v>
      </c>
      <c r="C16" s="103" t="s">
        <v>343</v>
      </c>
      <c r="D16" s="103" t="s">
        <v>344</v>
      </c>
      <c r="E16" s="103" t="s">
        <v>345</v>
      </c>
      <c r="F16" s="103" t="s">
        <v>194</v>
      </c>
      <c r="G16" s="103" t="s">
        <v>53</v>
      </c>
      <c r="H16" s="103" t="s">
        <v>304</v>
      </c>
      <c r="I16" s="103">
        <v>1163785521</v>
      </c>
      <c r="J16" s="105">
        <v>120</v>
      </c>
    </row>
    <row r="17" spans="1:10">
      <c r="A17" s="100">
        <v>16</v>
      </c>
      <c r="B17" s="101">
        <v>44409</v>
      </c>
      <c r="C17" s="100" t="s">
        <v>346</v>
      </c>
      <c r="D17" s="100" t="s">
        <v>347</v>
      </c>
      <c r="E17" s="100" t="s">
        <v>348</v>
      </c>
      <c r="F17" s="100" t="s">
        <v>194</v>
      </c>
      <c r="G17" s="100" t="s">
        <v>53</v>
      </c>
      <c r="H17" s="100" t="s">
        <v>304</v>
      </c>
      <c r="I17" s="100">
        <v>1177842568</v>
      </c>
      <c r="J17" s="102">
        <v>489</v>
      </c>
    </row>
    <row r="18" spans="1:10">
      <c r="A18" s="106">
        <v>17</v>
      </c>
      <c r="B18" s="104">
        <v>44413</v>
      </c>
      <c r="C18" s="106" t="s">
        <v>349</v>
      </c>
      <c r="D18" s="106" t="s">
        <v>350</v>
      </c>
      <c r="E18" s="106" t="s">
        <v>319</v>
      </c>
      <c r="F18" s="106" t="s">
        <v>194</v>
      </c>
      <c r="G18" s="106" t="s">
        <v>53</v>
      </c>
      <c r="H18" s="106" t="s">
        <v>304</v>
      </c>
      <c r="I18" s="106">
        <v>1182133122</v>
      </c>
      <c r="J18" s="107">
        <v>560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E016-027E-435A-9BAA-1E6B31CC71C2}">
  <dimension ref="A1:C18"/>
  <sheetViews>
    <sheetView workbookViewId="0">
      <selection sqref="A1:C18"/>
    </sheetView>
  </sheetViews>
  <sheetFormatPr defaultRowHeight="14.4"/>
  <sheetData>
    <row r="1" spans="1:3" ht="15.6">
      <c r="A1" s="193" t="s">
        <v>268</v>
      </c>
      <c r="B1" s="193"/>
      <c r="C1" s="193"/>
    </row>
    <row r="3" spans="1:3" ht="15.6">
      <c r="B3" s="70" t="s">
        <v>269</v>
      </c>
      <c r="C3" s="72">
        <v>22.2</v>
      </c>
    </row>
    <row r="5" spans="1:3" ht="46.8">
      <c r="A5" s="73" t="s">
        <v>270</v>
      </c>
      <c r="B5" s="73" t="s">
        <v>271</v>
      </c>
      <c r="C5" s="73" t="s">
        <v>272</v>
      </c>
    </row>
    <row r="6" spans="1:3" ht="15.6">
      <c r="A6" s="71" t="s">
        <v>273</v>
      </c>
      <c r="B6" s="71">
        <v>258</v>
      </c>
      <c r="C6" s="74"/>
    </row>
    <row r="7" spans="1:3" ht="15.6">
      <c r="A7" s="71" t="s">
        <v>274</v>
      </c>
      <c r="B7" s="71">
        <v>850</v>
      </c>
      <c r="C7" s="74"/>
    </row>
    <row r="8" spans="1:3" ht="15.6">
      <c r="A8" s="71" t="s">
        <v>58</v>
      </c>
      <c r="B8" s="71">
        <v>325</v>
      </c>
      <c r="C8" s="74"/>
    </row>
    <row r="9" spans="1:3" ht="15.6">
      <c r="A9" s="71" t="s">
        <v>59</v>
      </c>
      <c r="B9" s="71">
        <v>300</v>
      </c>
      <c r="C9" s="74"/>
    </row>
    <row r="10" spans="1:3" ht="15.6">
      <c r="A10" s="71" t="s">
        <v>273</v>
      </c>
      <c r="B10" s="71">
        <v>890</v>
      </c>
      <c r="C10" s="74"/>
    </row>
    <row r="11" spans="1:3" ht="15.6">
      <c r="A11" s="71" t="s">
        <v>62</v>
      </c>
      <c r="B11" s="71">
        <v>100</v>
      </c>
      <c r="C11" s="74"/>
    </row>
    <row r="12" spans="1:3" ht="15.6">
      <c r="A12" s="71" t="s">
        <v>275</v>
      </c>
      <c r="B12" s="71">
        <v>25</v>
      </c>
      <c r="C12" s="74"/>
    </row>
    <row r="13" spans="1:3" ht="15.6">
      <c r="A13" s="71" t="s">
        <v>276</v>
      </c>
      <c r="B13" s="71">
        <v>10</v>
      </c>
      <c r="C13" s="74"/>
    </row>
    <row r="14" spans="1:3" ht="15.6">
      <c r="A14" s="71" t="s">
        <v>277</v>
      </c>
      <c r="B14" s="71">
        <v>360</v>
      </c>
      <c r="C14" s="74"/>
    </row>
    <row r="15" spans="1:3" ht="15.6">
      <c r="A15" s="71" t="s">
        <v>278</v>
      </c>
      <c r="B15" s="71">
        <v>250</v>
      </c>
      <c r="C15" s="74"/>
    </row>
    <row r="16" spans="1:3" ht="15.6">
      <c r="A16" s="71" t="s">
        <v>279</v>
      </c>
      <c r="B16" s="71">
        <v>600</v>
      </c>
      <c r="C16" s="74"/>
    </row>
    <row r="18" spans="1:1" ht="15.6">
      <c r="A18" s="70" t="s">
        <v>280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F423-B925-4E13-B03B-7A9814D1E05A}">
  <dimension ref="A2:D9"/>
  <sheetViews>
    <sheetView workbookViewId="0">
      <selection activeCell="A9" sqref="A9"/>
    </sheetView>
  </sheetViews>
  <sheetFormatPr defaultRowHeight="14.4"/>
  <cols>
    <col min="5" max="5" width="12.109375" bestFit="1" customWidth="1"/>
    <col min="6" max="6" width="12.6640625" bestFit="1" customWidth="1"/>
  </cols>
  <sheetData>
    <row r="2" spans="1:4">
      <c r="A2" s="31" t="s">
        <v>96</v>
      </c>
      <c r="B2" s="31" t="s">
        <v>97</v>
      </c>
      <c r="C2" s="31" t="s">
        <v>98</v>
      </c>
      <c r="D2" s="31" t="s">
        <v>7</v>
      </c>
    </row>
    <row r="3" spans="1:4">
      <c r="A3" t="s">
        <v>99</v>
      </c>
      <c r="B3">
        <v>8</v>
      </c>
      <c r="C3" s="32">
        <v>0.65</v>
      </c>
    </row>
    <row r="4" spans="1:4">
      <c r="A4" t="s">
        <v>100</v>
      </c>
      <c r="B4">
        <v>7</v>
      </c>
      <c r="C4" s="32">
        <v>0.4</v>
      </c>
    </row>
    <row r="5" spans="1:4">
      <c r="A5" t="s">
        <v>101</v>
      </c>
      <c r="B5">
        <v>8</v>
      </c>
      <c r="C5" s="32">
        <v>0.4</v>
      </c>
    </row>
    <row r="6" spans="1:4">
      <c r="A6" t="s">
        <v>102</v>
      </c>
      <c r="B6">
        <v>10</v>
      </c>
      <c r="C6" s="32">
        <v>0.9</v>
      </c>
    </row>
    <row r="7" spans="1:4">
      <c r="A7" t="s">
        <v>103</v>
      </c>
      <c r="B7">
        <v>8</v>
      </c>
      <c r="C7" s="32">
        <v>0.5</v>
      </c>
    </row>
    <row r="9" spans="1:4" ht="78.75" customHeight="1">
      <c r="A9" s="30" t="s">
        <v>7</v>
      </c>
      <c r="B9" s="194" t="s">
        <v>104</v>
      </c>
      <c r="C9" s="195"/>
      <c r="D9" s="196"/>
    </row>
  </sheetData>
  <mergeCells count="1">
    <mergeCell ref="B9:D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1672-F838-4E69-B69A-45986742843D}">
  <dimension ref="A1:E13"/>
  <sheetViews>
    <sheetView workbookViewId="0">
      <selection sqref="A1:E13"/>
    </sheetView>
  </sheetViews>
  <sheetFormatPr defaultRowHeight="14.4"/>
  <cols>
    <col min="1" max="1" width="8.6640625" bestFit="1" customWidth="1"/>
    <col min="2" max="2" width="12.6640625" bestFit="1" customWidth="1"/>
    <col min="3" max="3" width="14.33203125" bestFit="1" customWidth="1"/>
    <col min="5" max="5" width="14.33203125" bestFit="1" customWidth="1"/>
    <col min="9" max="9" width="29" customWidth="1"/>
  </cols>
  <sheetData>
    <row r="1" spans="1:5" ht="15" thickBot="1">
      <c r="A1" s="197" t="s">
        <v>144</v>
      </c>
      <c r="B1" s="198"/>
      <c r="C1" s="198"/>
      <c r="D1" s="198"/>
      <c r="E1" s="199"/>
    </row>
    <row r="2" spans="1:5" ht="43.8" thickBot="1">
      <c r="A2" s="45" t="s">
        <v>145</v>
      </c>
      <c r="B2" s="45" t="s">
        <v>146</v>
      </c>
      <c r="C2" s="45" t="s">
        <v>147</v>
      </c>
      <c r="D2" s="46" t="s">
        <v>148</v>
      </c>
      <c r="E2" s="45" t="s">
        <v>149</v>
      </c>
    </row>
    <row r="3" spans="1:5">
      <c r="B3" s="47" t="s">
        <v>149</v>
      </c>
      <c r="C3" s="47"/>
      <c r="D3" s="47"/>
      <c r="E3" s="48">
        <v>100000</v>
      </c>
    </row>
    <row r="4" spans="1:5">
      <c r="A4" s="49">
        <v>40238</v>
      </c>
      <c r="B4" s="50" t="s">
        <v>150</v>
      </c>
      <c r="C4" s="51">
        <v>10000</v>
      </c>
      <c r="D4" s="52" t="s">
        <v>3</v>
      </c>
      <c r="E4" s="51"/>
    </row>
    <row r="5" spans="1:5">
      <c r="A5" s="49">
        <v>40243</v>
      </c>
      <c r="B5" s="50" t="s">
        <v>151</v>
      </c>
      <c r="C5" s="51">
        <v>25000</v>
      </c>
      <c r="D5" s="52" t="s">
        <v>2</v>
      </c>
      <c r="E5" s="51"/>
    </row>
    <row r="6" spans="1:5">
      <c r="A6" s="49">
        <v>40248</v>
      </c>
      <c r="B6" s="50" t="s">
        <v>152</v>
      </c>
      <c r="C6" s="51">
        <v>12500</v>
      </c>
      <c r="D6" s="52" t="s">
        <v>3</v>
      </c>
      <c r="E6" s="51"/>
    </row>
    <row r="7" spans="1:5">
      <c r="A7" s="49">
        <v>40253</v>
      </c>
      <c r="B7" s="50" t="s">
        <v>153</v>
      </c>
      <c r="C7" s="51">
        <v>20000</v>
      </c>
      <c r="D7" s="52" t="s">
        <v>3</v>
      </c>
      <c r="E7" s="51"/>
    </row>
    <row r="8" spans="1:5">
      <c r="A8" s="49">
        <v>40258</v>
      </c>
      <c r="B8" s="50" t="s">
        <v>154</v>
      </c>
      <c r="C8" s="51">
        <v>250000</v>
      </c>
      <c r="D8" s="52" t="s">
        <v>2</v>
      </c>
      <c r="E8" s="51"/>
    </row>
    <row r="9" spans="1:5">
      <c r="A9" s="49">
        <v>40263</v>
      </c>
      <c r="B9" s="50" t="s">
        <v>152</v>
      </c>
      <c r="C9" s="51">
        <v>10000</v>
      </c>
      <c r="D9" s="52" t="s">
        <v>3</v>
      </c>
      <c r="E9" s="51"/>
    </row>
    <row r="10" spans="1:5">
      <c r="A10" s="49">
        <v>40268</v>
      </c>
      <c r="B10" s="50" t="s">
        <v>151</v>
      </c>
      <c r="C10" s="51">
        <v>100000</v>
      </c>
      <c r="D10" s="52" t="s">
        <v>2</v>
      </c>
      <c r="E10" s="51"/>
    </row>
    <row r="11" spans="1:5">
      <c r="A11" s="49">
        <v>40273</v>
      </c>
      <c r="B11" s="50" t="s">
        <v>155</v>
      </c>
      <c r="C11" s="51">
        <v>2000</v>
      </c>
      <c r="D11" s="52" t="s">
        <v>3</v>
      </c>
      <c r="E11" s="51"/>
    </row>
    <row r="12" spans="1:5">
      <c r="A12" s="49">
        <v>40278</v>
      </c>
      <c r="B12" s="50" t="s">
        <v>156</v>
      </c>
      <c r="C12" s="51">
        <v>75000</v>
      </c>
      <c r="D12" s="52" t="s">
        <v>3</v>
      </c>
      <c r="E12" s="51"/>
    </row>
    <row r="13" spans="1:5" ht="15" thickBot="1">
      <c r="A13" s="49">
        <v>40283</v>
      </c>
      <c r="B13" s="53" t="s">
        <v>151</v>
      </c>
      <c r="C13" s="54">
        <v>5000</v>
      </c>
      <c r="D13" s="55" t="s">
        <v>2</v>
      </c>
      <c r="E13" s="5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4DFA-E028-41DB-85C6-5CAC5E378CA3}">
  <dimension ref="A1:K17"/>
  <sheetViews>
    <sheetView workbookViewId="0">
      <selection sqref="A1:K1"/>
    </sheetView>
  </sheetViews>
  <sheetFormatPr defaultRowHeight="14.4"/>
  <cols>
    <col min="1" max="1" width="17.109375" customWidth="1"/>
    <col min="2" max="2" width="14.44140625" customWidth="1"/>
    <col min="3" max="3" width="10.33203125" bestFit="1" customWidth="1"/>
    <col min="4" max="4" width="12.33203125" customWidth="1"/>
  </cols>
  <sheetData>
    <row r="1" spans="1:11" ht="21">
      <c r="A1" s="200" t="s">
        <v>351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3" spans="1:11" ht="28.8">
      <c r="A3" s="110" t="s">
        <v>106</v>
      </c>
      <c r="B3" s="110" t="s">
        <v>352</v>
      </c>
      <c r="C3" s="110" t="s">
        <v>353</v>
      </c>
      <c r="D3" s="110" t="s">
        <v>354</v>
      </c>
      <c r="E3" s="110" t="s">
        <v>355</v>
      </c>
      <c r="F3" s="110" t="s">
        <v>356</v>
      </c>
      <c r="G3" s="110" t="s">
        <v>357</v>
      </c>
      <c r="H3" s="110" t="s">
        <v>358</v>
      </c>
      <c r="I3" s="110" t="s">
        <v>359</v>
      </c>
      <c r="J3" s="110" t="s">
        <v>360</v>
      </c>
      <c r="K3" s="110" t="s">
        <v>361</v>
      </c>
    </row>
    <row r="4" spans="1:11">
      <c r="A4" s="111" t="s">
        <v>362</v>
      </c>
      <c r="B4" s="112">
        <v>31177</v>
      </c>
      <c r="C4" s="111" t="s">
        <v>363</v>
      </c>
      <c r="D4" s="113">
        <v>2000</v>
      </c>
      <c r="E4" s="115"/>
      <c r="F4" s="111">
        <v>1</v>
      </c>
      <c r="G4" s="115"/>
      <c r="H4" s="115"/>
      <c r="I4" s="115"/>
      <c r="J4" s="115"/>
      <c r="K4" s="115"/>
    </row>
    <row r="5" spans="1:11">
      <c r="A5" s="111" t="s">
        <v>364</v>
      </c>
      <c r="B5" s="112">
        <v>33108</v>
      </c>
      <c r="C5" s="111" t="s">
        <v>365</v>
      </c>
      <c r="D5" s="113">
        <v>1210</v>
      </c>
      <c r="E5" s="115"/>
      <c r="F5" s="111">
        <v>3</v>
      </c>
      <c r="G5" s="115"/>
      <c r="H5" s="115"/>
      <c r="I5" s="115"/>
      <c r="J5" s="115"/>
      <c r="K5" s="115"/>
    </row>
    <row r="6" spans="1:11">
      <c r="A6" s="111" t="s">
        <v>366</v>
      </c>
      <c r="B6" s="112">
        <v>25917</v>
      </c>
      <c r="C6" s="111" t="s">
        <v>367</v>
      </c>
      <c r="D6" s="113">
        <v>2500</v>
      </c>
      <c r="E6" s="115"/>
      <c r="F6" s="111">
        <v>0</v>
      </c>
      <c r="G6" s="115"/>
      <c r="H6" s="115"/>
      <c r="I6" s="115"/>
      <c r="J6" s="115"/>
      <c r="K6" s="115"/>
    </row>
    <row r="7" spans="1:11">
      <c r="A7" s="111" t="s">
        <v>368</v>
      </c>
      <c r="B7" s="112">
        <v>33792</v>
      </c>
      <c r="C7" s="111" t="s">
        <v>369</v>
      </c>
      <c r="D7" s="113">
        <v>1500</v>
      </c>
      <c r="E7" s="115"/>
      <c r="F7" s="111">
        <v>2</v>
      </c>
      <c r="G7" s="115"/>
      <c r="H7" s="115"/>
      <c r="I7" s="115"/>
      <c r="J7" s="115"/>
      <c r="K7" s="115"/>
    </row>
    <row r="8" spans="1:11">
      <c r="A8" s="111" t="s">
        <v>370</v>
      </c>
      <c r="B8" s="112">
        <v>29236</v>
      </c>
      <c r="C8" s="111" t="s">
        <v>371</v>
      </c>
      <c r="D8" s="113">
        <v>1250</v>
      </c>
      <c r="E8" s="115"/>
      <c r="F8" s="111">
        <v>5</v>
      </c>
      <c r="G8" s="115"/>
      <c r="H8" s="115"/>
      <c r="I8" s="115"/>
      <c r="J8" s="115"/>
      <c r="K8" s="115"/>
    </row>
    <row r="9" spans="1:11">
      <c r="A9" s="111" t="s">
        <v>372</v>
      </c>
      <c r="B9" s="112">
        <v>35934</v>
      </c>
      <c r="C9" s="111" t="s">
        <v>373</v>
      </c>
      <c r="D9" s="113">
        <v>1560</v>
      </c>
      <c r="E9" s="115"/>
      <c r="F9" s="111">
        <v>1</v>
      </c>
      <c r="G9" s="115"/>
      <c r="H9" s="115"/>
      <c r="I9" s="115"/>
      <c r="J9" s="115"/>
      <c r="K9" s="115"/>
    </row>
    <row r="10" spans="1:11">
      <c r="A10" s="111" t="s">
        <v>374</v>
      </c>
      <c r="B10" s="112">
        <v>32965</v>
      </c>
      <c r="C10" s="111" t="s">
        <v>375</v>
      </c>
      <c r="D10" s="113">
        <v>3200</v>
      </c>
      <c r="E10" s="115"/>
      <c r="F10" s="111">
        <v>2</v>
      </c>
      <c r="G10" s="115"/>
      <c r="H10" s="115"/>
      <c r="I10" s="115"/>
      <c r="J10" s="115"/>
      <c r="K10" s="115"/>
    </row>
    <row r="12" spans="1:11">
      <c r="A12" s="3" t="s">
        <v>376</v>
      </c>
      <c r="B12" t="s">
        <v>377</v>
      </c>
    </row>
    <row r="13" spans="1:11">
      <c r="A13" s="3" t="s">
        <v>378</v>
      </c>
      <c r="B13" t="s">
        <v>379</v>
      </c>
    </row>
    <row r="14" spans="1:11">
      <c r="A14" s="3" t="s">
        <v>380</v>
      </c>
      <c r="B14" t="s">
        <v>381</v>
      </c>
    </row>
    <row r="15" spans="1:11">
      <c r="A15" s="3" t="s">
        <v>382</v>
      </c>
      <c r="B15" t="s">
        <v>383</v>
      </c>
    </row>
    <row r="16" spans="1:11">
      <c r="A16" s="3" t="s">
        <v>384</v>
      </c>
      <c r="B16" t="s">
        <v>385</v>
      </c>
    </row>
    <row r="17" spans="1:2">
      <c r="A17" s="3" t="s">
        <v>386</v>
      </c>
      <c r="B17" t="s">
        <v>387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C26A-FD97-4D8B-8D81-EBE1F87A57C1}">
  <dimension ref="A2:E18"/>
  <sheetViews>
    <sheetView workbookViewId="0">
      <selection sqref="A1:E18"/>
    </sheetView>
  </sheetViews>
  <sheetFormatPr defaultRowHeight="14.4"/>
  <cols>
    <col min="1" max="1" width="21.88671875" customWidth="1"/>
    <col min="2" max="2" width="16" customWidth="1"/>
    <col min="3" max="3" width="13.44140625" bestFit="1" customWidth="1"/>
    <col min="4" max="4" width="20.88671875" bestFit="1" customWidth="1"/>
    <col min="5" max="5" width="21.6640625" bestFit="1" customWidth="1"/>
  </cols>
  <sheetData>
    <row r="2" spans="1:5">
      <c r="A2" s="201" t="s">
        <v>105</v>
      </c>
      <c r="B2" s="201"/>
      <c r="C2" s="201"/>
      <c r="D2" s="201"/>
      <c r="E2" s="201"/>
    </row>
    <row r="4" spans="1:5">
      <c r="A4" s="34" t="s">
        <v>106</v>
      </c>
      <c r="B4" s="34" t="s">
        <v>107</v>
      </c>
      <c r="D4" s="34" t="s">
        <v>106</v>
      </c>
      <c r="E4" s="34" t="s">
        <v>108</v>
      </c>
    </row>
    <row r="5" spans="1:5">
      <c r="A5" s="12" t="s">
        <v>64</v>
      </c>
      <c r="B5" s="1">
        <v>456</v>
      </c>
      <c r="D5" s="12" t="s">
        <v>64</v>
      </c>
      <c r="E5" s="1"/>
    </row>
    <row r="6" spans="1:5">
      <c r="A6" s="12" t="s">
        <v>109</v>
      </c>
      <c r="B6" s="1">
        <v>346</v>
      </c>
      <c r="D6" s="12" t="s">
        <v>109</v>
      </c>
      <c r="E6" s="1"/>
    </row>
    <row r="7" spans="1:5">
      <c r="A7" s="12" t="s">
        <v>64</v>
      </c>
      <c r="B7" s="1">
        <v>765</v>
      </c>
      <c r="D7" s="12" t="s">
        <v>110</v>
      </c>
      <c r="E7" s="1"/>
    </row>
    <row r="8" spans="1:5">
      <c r="A8" s="12" t="s">
        <v>110</v>
      </c>
      <c r="B8" s="1">
        <v>56</v>
      </c>
      <c r="D8" s="33"/>
    </row>
    <row r="9" spans="1:5">
      <c r="A9" s="12" t="s">
        <v>109</v>
      </c>
      <c r="B9" s="1">
        <v>54</v>
      </c>
      <c r="D9" s="35" t="s">
        <v>111</v>
      </c>
      <c r="E9" s="1"/>
    </row>
    <row r="10" spans="1:5">
      <c r="A10" s="12" t="s">
        <v>109</v>
      </c>
      <c r="B10" s="1">
        <v>3</v>
      </c>
    </row>
    <row r="11" spans="1:5">
      <c r="A11" s="12" t="s">
        <v>110</v>
      </c>
      <c r="B11" s="1">
        <v>56</v>
      </c>
    </row>
    <row r="12" spans="1:5">
      <c r="A12" s="12" t="s">
        <v>64</v>
      </c>
      <c r="B12" s="1">
        <v>75</v>
      </c>
    </row>
    <row r="13" spans="1:5">
      <c r="A13" s="12" t="s">
        <v>109</v>
      </c>
      <c r="B13" s="1">
        <v>34</v>
      </c>
    </row>
    <row r="14" spans="1:5">
      <c r="A14" s="12" t="s">
        <v>110</v>
      </c>
      <c r="B14" s="1">
        <v>8</v>
      </c>
    </row>
    <row r="15" spans="1:5">
      <c r="A15" s="12" t="s">
        <v>64</v>
      </c>
      <c r="B15" s="1">
        <v>56</v>
      </c>
    </row>
    <row r="18" spans="1:3">
      <c r="A18" s="36" t="s">
        <v>112</v>
      </c>
      <c r="B18" s="36"/>
      <c r="C18" s="36"/>
    </row>
  </sheetData>
  <mergeCells count="1">
    <mergeCell ref="A2:E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1395-C954-4972-93E2-17F85419E860}">
  <dimension ref="A2:E20"/>
  <sheetViews>
    <sheetView workbookViewId="0">
      <selection sqref="A1:E20"/>
    </sheetView>
  </sheetViews>
  <sheetFormatPr defaultRowHeight="14.4"/>
  <cols>
    <col min="2" max="2" width="9.5546875" bestFit="1" customWidth="1"/>
    <col min="4" max="4" width="19" bestFit="1" customWidth="1"/>
    <col min="5" max="5" width="14.33203125" bestFit="1" customWidth="1"/>
  </cols>
  <sheetData>
    <row r="2" spans="1:5">
      <c r="A2" s="203" t="s">
        <v>113</v>
      </c>
      <c r="B2" s="203"/>
      <c r="C2" s="203"/>
      <c r="D2" s="203"/>
      <c r="E2" s="203"/>
    </row>
    <row r="4" spans="1:5">
      <c r="A4" s="31" t="s">
        <v>114</v>
      </c>
      <c r="B4" s="31" t="s">
        <v>115</v>
      </c>
      <c r="D4" s="38" t="s">
        <v>116</v>
      </c>
      <c r="E4" s="35" t="s">
        <v>117</v>
      </c>
    </row>
    <row r="5" spans="1:5">
      <c r="A5" s="33" t="s">
        <v>118</v>
      </c>
      <c r="B5" s="37">
        <v>45</v>
      </c>
      <c r="D5" s="12" t="s">
        <v>118</v>
      </c>
      <c r="E5" s="1"/>
    </row>
    <row r="6" spans="1:5">
      <c r="A6" s="33" t="s">
        <v>119</v>
      </c>
      <c r="B6" s="37">
        <v>74</v>
      </c>
      <c r="D6" s="12" t="s">
        <v>119</v>
      </c>
      <c r="E6" s="1"/>
    </row>
    <row r="7" spans="1:5">
      <c r="A7" s="33" t="s">
        <v>52</v>
      </c>
      <c r="B7" s="37">
        <v>48</v>
      </c>
      <c r="D7" s="12" t="s">
        <v>52</v>
      </c>
      <c r="E7" s="1"/>
    </row>
    <row r="8" spans="1:5">
      <c r="A8" s="33" t="s">
        <v>120</v>
      </c>
      <c r="B8" s="37">
        <v>95</v>
      </c>
      <c r="D8" s="12" t="s">
        <v>120</v>
      </c>
      <c r="E8" s="1"/>
    </row>
    <row r="9" spans="1:5">
      <c r="A9" s="33" t="s">
        <v>120</v>
      </c>
      <c r="B9" s="37">
        <v>95</v>
      </c>
      <c r="D9" s="12"/>
      <c r="E9" s="1"/>
    </row>
    <row r="10" spans="1:5">
      <c r="A10" s="33" t="s">
        <v>52</v>
      </c>
      <c r="B10" s="37">
        <v>35</v>
      </c>
      <c r="D10" s="12" t="s">
        <v>121</v>
      </c>
      <c r="E10" s="1"/>
    </row>
    <row r="11" spans="1:5">
      <c r="A11" s="33" t="s">
        <v>119</v>
      </c>
      <c r="B11" s="37">
        <v>64</v>
      </c>
      <c r="D11" s="12" t="s">
        <v>122</v>
      </c>
      <c r="E11" s="1"/>
    </row>
    <row r="12" spans="1:5">
      <c r="A12" s="33" t="s">
        <v>118</v>
      </c>
      <c r="B12" s="37">
        <v>53</v>
      </c>
      <c r="D12" s="12" t="s">
        <v>123</v>
      </c>
      <c r="E12" s="1"/>
    </row>
    <row r="13" spans="1:5">
      <c r="A13" s="33" t="s">
        <v>120</v>
      </c>
      <c r="B13" s="37">
        <v>95</v>
      </c>
      <c r="D13" s="12" t="s">
        <v>124</v>
      </c>
      <c r="E13" s="1"/>
    </row>
    <row r="14" spans="1:5">
      <c r="A14" s="33" t="s">
        <v>118</v>
      </c>
      <c r="B14" s="37">
        <v>35</v>
      </c>
    </row>
    <row r="15" spans="1:5">
      <c r="A15" s="33" t="s">
        <v>52</v>
      </c>
      <c r="B15" s="37">
        <v>46</v>
      </c>
      <c r="D15" s="39" t="s">
        <v>125</v>
      </c>
      <c r="E15" s="36"/>
    </row>
    <row r="16" spans="1:5">
      <c r="A16" s="33" t="s">
        <v>52</v>
      </c>
      <c r="B16" s="37">
        <v>64</v>
      </c>
      <c r="D16" s="202" t="s">
        <v>126</v>
      </c>
      <c r="E16" s="202"/>
    </row>
    <row r="17" spans="1:5">
      <c r="A17" s="33" t="s">
        <v>119</v>
      </c>
      <c r="B17" s="37">
        <v>42</v>
      </c>
      <c r="D17" s="202" t="s">
        <v>127</v>
      </c>
      <c r="E17" s="202"/>
    </row>
    <row r="18" spans="1:5">
      <c r="A18" s="33" t="s">
        <v>120</v>
      </c>
      <c r="B18" s="37">
        <v>95</v>
      </c>
      <c r="D18" s="202" t="s">
        <v>128</v>
      </c>
      <c r="E18" s="202"/>
    </row>
    <row r="19" spans="1:5">
      <c r="A19" s="33" t="s">
        <v>118</v>
      </c>
      <c r="B19" s="37">
        <v>35</v>
      </c>
      <c r="D19" s="202" t="s">
        <v>129</v>
      </c>
      <c r="E19" s="202"/>
    </row>
    <row r="20" spans="1:5">
      <c r="A20" s="33" t="s">
        <v>119</v>
      </c>
      <c r="B20" s="37">
        <v>47</v>
      </c>
      <c r="D20" s="202" t="s">
        <v>130</v>
      </c>
      <c r="E20" s="202"/>
    </row>
  </sheetData>
  <mergeCells count="6">
    <mergeCell ref="D19:E19"/>
    <mergeCell ref="D20:E20"/>
    <mergeCell ref="A2:E2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1517-9B8F-49E8-83DF-8E4DBBDE97FB}">
  <dimension ref="A3:C17"/>
  <sheetViews>
    <sheetView workbookViewId="0">
      <selection activeCell="K35" sqref="K35"/>
    </sheetView>
  </sheetViews>
  <sheetFormatPr defaultRowHeight="14.4"/>
  <cols>
    <col min="3" max="3" width="18.109375" bestFit="1" customWidth="1"/>
  </cols>
  <sheetData>
    <row r="3" spans="1:3">
      <c r="A3" s="40" t="s">
        <v>80</v>
      </c>
      <c r="C3" s="41" t="s">
        <v>131</v>
      </c>
    </row>
    <row r="4" spans="1:3">
      <c r="A4" s="2">
        <v>2</v>
      </c>
    </row>
    <row r="5" spans="1:3">
      <c r="A5" s="2">
        <v>-5</v>
      </c>
    </row>
    <row r="6" spans="1:3">
      <c r="A6" s="2">
        <v>-1</v>
      </c>
    </row>
    <row r="7" spans="1:3">
      <c r="A7" s="2">
        <v>9</v>
      </c>
    </row>
    <row r="8" spans="1:3">
      <c r="A8" s="2">
        <v>4</v>
      </c>
    </row>
    <row r="9" spans="1:3">
      <c r="A9" s="2">
        <v>-5</v>
      </c>
    </row>
    <row r="10" spans="1:3">
      <c r="A10" s="2">
        <v>-1</v>
      </c>
    </row>
    <row r="11" spans="1:3">
      <c r="A11" s="2">
        <v>4</v>
      </c>
    </row>
    <row r="12" spans="1:3">
      <c r="A12" s="2">
        <v>1</v>
      </c>
    </row>
    <row r="13" spans="1:3">
      <c r="A13" s="2">
        <v>-2</v>
      </c>
    </row>
    <row r="14" spans="1:3">
      <c r="A14" s="2">
        <v>2</v>
      </c>
    </row>
    <row r="15" spans="1:3">
      <c r="A15" s="2">
        <v>-7</v>
      </c>
    </row>
    <row r="16" spans="1:3">
      <c r="A16" s="2">
        <v>1</v>
      </c>
    </row>
    <row r="17" spans="1:1">
      <c r="A17" s="2">
        <v>-1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8FE-88E1-4FF8-A469-3DA08EF6292F}">
  <dimension ref="A2:H19"/>
  <sheetViews>
    <sheetView workbookViewId="0">
      <selection activeCell="A14" sqref="A14:A16"/>
    </sheetView>
  </sheetViews>
  <sheetFormatPr defaultRowHeight="14.4"/>
  <cols>
    <col min="2" max="2" width="10.5546875" bestFit="1" customWidth="1"/>
    <col min="5" max="5" width="10.6640625" bestFit="1" customWidth="1"/>
    <col min="6" max="6" width="12.109375" bestFit="1" customWidth="1"/>
    <col min="8" max="8" width="22.6640625" bestFit="1" customWidth="1"/>
  </cols>
  <sheetData>
    <row r="2" spans="1:8">
      <c r="A2" s="15" t="s">
        <v>50</v>
      </c>
      <c r="B2" s="15" t="s">
        <v>132</v>
      </c>
      <c r="E2" t="s">
        <v>135</v>
      </c>
      <c r="F2" t="s">
        <v>115</v>
      </c>
      <c r="G2" t="s">
        <v>50</v>
      </c>
      <c r="H2" t="s">
        <v>137</v>
      </c>
    </row>
    <row r="3" spans="1:8">
      <c r="A3" s="15" t="s">
        <v>133</v>
      </c>
      <c r="B3" s="15"/>
      <c r="E3" s="42">
        <v>44835</v>
      </c>
      <c r="F3" s="43">
        <v>1958.35</v>
      </c>
      <c r="G3" t="s">
        <v>133</v>
      </c>
      <c r="H3" t="s">
        <v>138</v>
      </c>
    </row>
    <row r="4" spans="1:8">
      <c r="A4" s="15" t="s">
        <v>134</v>
      </c>
      <c r="B4" s="15"/>
      <c r="E4" s="42">
        <v>44836</v>
      </c>
      <c r="F4" s="43">
        <v>590.94000000000005</v>
      </c>
      <c r="G4" t="s">
        <v>134</v>
      </c>
      <c r="H4" t="s">
        <v>139</v>
      </c>
    </row>
    <row r="5" spans="1:8">
      <c r="A5" s="15" t="s">
        <v>57</v>
      </c>
      <c r="B5" s="15"/>
      <c r="E5" s="42">
        <v>44837</v>
      </c>
      <c r="F5" s="43">
        <v>264.74</v>
      </c>
      <c r="G5" t="s">
        <v>134</v>
      </c>
      <c r="H5" t="s">
        <v>140</v>
      </c>
    </row>
    <row r="6" spans="1:8">
      <c r="E6" s="42">
        <v>44838</v>
      </c>
      <c r="F6" s="43">
        <v>177.49</v>
      </c>
      <c r="G6" t="s">
        <v>57</v>
      </c>
      <c r="H6" t="s">
        <v>139</v>
      </c>
    </row>
    <row r="7" spans="1:8">
      <c r="A7" s="15" t="s">
        <v>136</v>
      </c>
      <c r="B7" t="s">
        <v>132</v>
      </c>
      <c r="E7" s="42">
        <v>44839</v>
      </c>
      <c r="F7" s="43">
        <v>2527.5</v>
      </c>
      <c r="G7" t="s">
        <v>133</v>
      </c>
      <c r="H7" t="s">
        <v>139</v>
      </c>
    </row>
    <row r="8" spans="1:8">
      <c r="A8" s="15" t="s">
        <v>138</v>
      </c>
      <c r="E8" s="42">
        <v>44840</v>
      </c>
      <c r="F8" s="43">
        <v>321.25900000000001</v>
      </c>
      <c r="G8" t="s">
        <v>133</v>
      </c>
      <c r="H8" t="s">
        <v>138</v>
      </c>
    </row>
    <row r="9" spans="1:8">
      <c r="A9" s="15" t="s">
        <v>139</v>
      </c>
      <c r="E9" s="42">
        <v>44841</v>
      </c>
      <c r="F9" s="43">
        <v>1393.7439999999999</v>
      </c>
      <c r="G9" t="s">
        <v>57</v>
      </c>
      <c r="H9" t="s">
        <v>140</v>
      </c>
    </row>
    <row r="10" spans="1:8">
      <c r="A10" s="15" t="s">
        <v>141</v>
      </c>
      <c r="E10" s="42">
        <v>44842</v>
      </c>
      <c r="F10" s="43">
        <v>1466.229</v>
      </c>
      <c r="G10" t="s">
        <v>134</v>
      </c>
      <c r="H10" t="s">
        <v>138</v>
      </c>
    </row>
    <row r="11" spans="1:8">
      <c r="E11" s="42">
        <v>44843</v>
      </c>
      <c r="F11" s="43">
        <v>1538.7139999999999</v>
      </c>
      <c r="G11" t="s">
        <v>133</v>
      </c>
      <c r="H11" t="s">
        <v>139</v>
      </c>
    </row>
    <row r="12" spans="1:8">
      <c r="E12" s="42">
        <v>44844</v>
      </c>
      <c r="F12" s="43">
        <v>611.19899999999996</v>
      </c>
      <c r="G12" t="s">
        <v>134</v>
      </c>
      <c r="H12" t="s">
        <v>140</v>
      </c>
    </row>
    <row r="13" spans="1:8">
      <c r="A13" s="15" t="s">
        <v>50</v>
      </c>
      <c r="B13" t="s">
        <v>142</v>
      </c>
      <c r="E13" s="42">
        <v>44845</v>
      </c>
      <c r="F13" s="43">
        <v>1683.684</v>
      </c>
      <c r="G13" t="s">
        <v>134</v>
      </c>
      <c r="H13" t="s">
        <v>139</v>
      </c>
    </row>
    <row r="14" spans="1:8">
      <c r="A14" s="15" t="s">
        <v>133</v>
      </c>
      <c r="E14" s="42">
        <v>44846</v>
      </c>
      <c r="F14" s="43">
        <v>1756.1690000000001</v>
      </c>
      <c r="G14" t="s">
        <v>57</v>
      </c>
      <c r="H14" t="s">
        <v>139</v>
      </c>
    </row>
    <row r="15" spans="1:8">
      <c r="A15" s="15" t="s">
        <v>134</v>
      </c>
      <c r="E15" s="42">
        <v>44847</v>
      </c>
      <c r="F15" s="43">
        <v>1828.654</v>
      </c>
      <c r="G15" t="s">
        <v>133</v>
      </c>
      <c r="H15" t="s">
        <v>138</v>
      </c>
    </row>
    <row r="16" spans="1:8">
      <c r="A16" s="15" t="s">
        <v>57</v>
      </c>
      <c r="E16" s="42">
        <v>44848</v>
      </c>
      <c r="F16" s="43">
        <v>190.13900000000001</v>
      </c>
      <c r="G16" t="s">
        <v>133</v>
      </c>
      <c r="H16" t="s">
        <v>140</v>
      </c>
    </row>
    <row r="17" spans="5:8">
      <c r="E17" s="42">
        <v>44849</v>
      </c>
      <c r="F17" s="43">
        <v>1973.624</v>
      </c>
      <c r="G17" t="s">
        <v>57</v>
      </c>
      <c r="H17" t="s">
        <v>140</v>
      </c>
    </row>
    <row r="18" spans="5:8">
      <c r="E18" s="42">
        <v>44850</v>
      </c>
      <c r="F18" s="43">
        <v>2046.1089999999999</v>
      </c>
      <c r="G18" t="s">
        <v>134</v>
      </c>
      <c r="H18" t="s">
        <v>138</v>
      </c>
    </row>
    <row r="19" spans="5:8">
      <c r="E19" s="42">
        <v>44851</v>
      </c>
      <c r="F19" s="43">
        <v>2118.5940000000001</v>
      </c>
      <c r="G19" t="s">
        <v>134</v>
      </c>
      <c r="H19" t="s">
        <v>138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AF04-7448-4977-B1EA-2F2D1EB7E070}">
  <dimension ref="A1:G26"/>
  <sheetViews>
    <sheetView workbookViewId="0">
      <selection activeCell="F3" sqref="F3"/>
    </sheetView>
  </sheetViews>
  <sheetFormatPr defaultRowHeight="14.4"/>
  <cols>
    <col min="2" max="2" width="11" customWidth="1"/>
    <col min="3" max="3" width="9.109375" customWidth="1"/>
    <col min="4" max="4" width="14.6640625" customWidth="1"/>
    <col min="6" max="6" width="11" bestFit="1" customWidth="1"/>
  </cols>
  <sheetData>
    <row r="1" spans="1:7" ht="18">
      <c r="A1" s="204" t="s">
        <v>16</v>
      </c>
      <c r="B1" s="205"/>
      <c r="C1" s="205"/>
      <c r="D1" s="206"/>
    </row>
    <row r="2" spans="1:7" ht="15.6">
      <c r="A2" s="17"/>
      <c r="B2" s="17"/>
      <c r="C2" s="17"/>
      <c r="D2" s="17"/>
    </row>
    <row r="3" spans="1:7" ht="15.6">
      <c r="A3" s="18" t="s">
        <v>17</v>
      </c>
      <c r="B3" s="18" t="s">
        <v>18</v>
      </c>
      <c r="C3" s="18" t="s">
        <v>19</v>
      </c>
      <c r="D3" s="18" t="s">
        <v>20</v>
      </c>
      <c r="F3" s="44" t="s">
        <v>18</v>
      </c>
      <c r="G3" s="44" t="s">
        <v>143</v>
      </c>
    </row>
    <row r="4" spans="1:7" ht="15.6">
      <c r="A4" s="19" t="s">
        <v>21</v>
      </c>
      <c r="B4" s="19" t="s">
        <v>22</v>
      </c>
      <c r="C4" s="21" t="s">
        <v>23</v>
      </c>
      <c r="D4" s="20">
        <v>29640</v>
      </c>
      <c r="F4" s="19" t="s">
        <v>22</v>
      </c>
    </row>
    <row r="5" spans="1:7" ht="15.6">
      <c r="A5" s="19" t="s">
        <v>24</v>
      </c>
      <c r="B5" s="19" t="s">
        <v>25</v>
      </c>
      <c r="C5" s="21" t="s">
        <v>23</v>
      </c>
      <c r="D5" s="20">
        <v>38232</v>
      </c>
      <c r="F5" s="19" t="s">
        <v>25</v>
      </c>
    </row>
    <row r="6" spans="1:7" ht="15.6">
      <c r="A6" s="19" t="s">
        <v>26</v>
      </c>
      <c r="B6" s="19" t="s">
        <v>27</v>
      </c>
      <c r="C6" s="21" t="s">
        <v>23</v>
      </c>
      <c r="D6" s="20">
        <v>15408</v>
      </c>
      <c r="F6" s="19" t="s">
        <v>27</v>
      </c>
    </row>
    <row r="7" spans="1:7" ht="15.6">
      <c r="A7" s="19" t="s">
        <v>28</v>
      </c>
      <c r="B7" s="19" t="s">
        <v>29</v>
      </c>
      <c r="C7" s="21" t="s">
        <v>30</v>
      </c>
      <c r="D7" s="20">
        <v>17385</v>
      </c>
      <c r="F7" s="19" t="s">
        <v>29</v>
      </c>
    </row>
    <row r="8" spans="1:7" ht="15.6">
      <c r="A8" s="19" t="s">
        <v>31</v>
      </c>
      <c r="B8" s="19" t="s">
        <v>22</v>
      </c>
      <c r="C8" s="21" t="s">
        <v>30</v>
      </c>
      <c r="D8" s="20">
        <v>30305</v>
      </c>
      <c r="F8" s="19" t="s">
        <v>22</v>
      </c>
    </row>
    <row r="9" spans="1:7" ht="15.6">
      <c r="A9" s="19" t="s">
        <v>32</v>
      </c>
      <c r="B9" s="19" t="s">
        <v>27</v>
      </c>
      <c r="C9" s="21" t="s">
        <v>30</v>
      </c>
      <c r="D9" s="20">
        <v>15475</v>
      </c>
      <c r="F9" s="19" t="s">
        <v>27</v>
      </c>
    </row>
    <row r="10" spans="1:7" ht="15.6">
      <c r="A10" s="19" t="s">
        <v>33</v>
      </c>
      <c r="B10" s="19" t="s">
        <v>29</v>
      </c>
      <c r="C10" s="21" t="s">
        <v>34</v>
      </c>
      <c r="D10" s="20">
        <v>16954</v>
      </c>
      <c r="F10" s="19" t="s">
        <v>29</v>
      </c>
    </row>
    <row r="11" spans="1:7" ht="15.6">
      <c r="A11" s="19" t="s">
        <v>35</v>
      </c>
      <c r="B11" s="19" t="s">
        <v>27</v>
      </c>
      <c r="C11" s="21" t="s">
        <v>36</v>
      </c>
      <c r="D11" s="20">
        <v>15287</v>
      </c>
      <c r="F11" s="19" t="s">
        <v>27</v>
      </c>
    </row>
    <row r="12" spans="1:7" ht="15.6">
      <c r="A12" s="19" t="s">
        <v>37</v>
      </c>
      <c r="B12" s="19" t="s">
        <v>27</v>
      </c>
      <c r="C12" s="21" t="s">
        <v>30</v>
      </c>
      <c r="D12" s="20">
        <v>14960</v>
      </c>
      <c r="F12" s="19" t="s">
        <v>27</v>
      </c>
    </row>
    <row r="13" spans="1:7" ht="15.6">
      <c r="A13" s="19" t="s">
        <v>38</v>
      </c>
      <c r="B13" s="19" t="s">
        <v>29</v>
      </c>
      <c r="C13" s="21" t="s">
        <v>36</v>
      </c>
      <c r="D13" s="20">
        <v>19900</v>
      </c>
      <c r="F13" s="19" t="s">
        <v>29</v>
      </c>
    </row>
    <row r="14" spans="1:7" ht="15.6">
      <c r="A14" s="19" t="s">
        <v>39</v>
      </c>
      <c r="B14" s="19" t="s">
        <v>22</v>
      </c>
      <c r="C14" s="21" t="s">
        <v>34</v>
      </c>
      <c r="D14" s="20">
        <v>40507</v>
      </c>
      <c r="F14" s="19" t="s">
        <v>22</v>
      </c>
    </row>
    <row r="15" spans="1:7" ht="15.6">
      <c r="A15" s="19" t="s">
        <v>40</v>
      </c>
      <c r="B15" s="19" t="s">
        <v>41</v>
      </c>
      <c r="C15" s="21" t="s">
        <v>34</v>
      </c>
      <c r="D15" s="20">
        <v>42967</v>
      </c>
      <c r="F15" s="19" t="s">
        <v>41</v>
      </c>
    </row>
    <row r="16" spans="1:7" ht="15.6">
      <c r="A16" s="19" t="s">
        <v>42</v>
      </c>
      <c r="B16" s="19" t="s">
        <v>27</v>
      </c>
      <c r="C16" s="21" t="s">
        <v>34</v>
      </c>
      <c r="D16" s="20">
        <v>14490</v>
      </c>
      <c r="F16" s="19" t="s">
        <v>27</v>
      </c>
    </row>
    <row r="17" spans="1:6" ht="15.6">
      <c r="A17" s="19" t="s">
        <v>43</v>
      </c>
      <c r="B17" s="19" t="s">
        <v>41</v>
      </c>
      <c r="C17" s="21" t="s">
        <v>36</v>
      </c>
      <c r="D17" s="20">
        <v>27459</v>
      </c>
      <c r="F17" s="19" t="s">
        <v>41</v>
      </c>
    </row>
    <row r="18" spans="1:6" ht="15.6">
      <c r="A18" s="19" t="s">
        <v>44</v>
      </c>
      <c r="B18" s="19" t="s">
        <v>25</v>
      </c>
      <c r="C18" s="21" t="s">
        <v>30</v>
      </c>
      <c r="D18" s="20">
        <v>35170</v>
      </c>
      <c r="F18" s="19" t="s">
        <v>25</v>
      </c>
    </row>
    <row r="19" spans="1:6" ht="15.6">
      <c r="A19" s="19" t="s">
        <v>45</v>
      </c>
      <c r="B19" s="19" t="s">
        <v>25</v>
      </c>
      <c r="C19" s="21" t="s">
        <v>23</v>
      </c>
      <c r="D19" s="20">
        <v>24296</v>
      </c>
      <c r="F19" s="19" t="s">
        <v>25</v>
      </c>
    </row>
    <row r="20" spans="1:6" ht="15.6">
      <c r="A20" s="19" t="s">
        <v>46</v>
      </c>
      <c r="B20" s="19" t="s">
        <v>22</v>
      </c>
      <c r="C20" s="21" t="s">
        <v>23</v>
      </c>
      <c r="D20" s="20">
        <v>40709</v>
      </c>
      <c r="F20" s="19" t="s">
        <v>22</v>
      </c>
    </row>
    <row r="21" spans="1:6" ht="15.6">
      <c r="A21" s="17"/>
      <c r="B21" s="17"/>
      <c r="C21" s="22"/>
      <c r="D21" s="23"/>
    </row>
    <row r="22" spans="1:6" ht="15.6">
      <c r="A22" s="17"/>
      <c r="B22" s="17"/>
      <c r="C22" s="22"/>
      <c r="D22" s="23"/>
    </row>
    <row r="23" spans="1:6" ht="15.6">
      <c r="A23" s="17"/>
      <c r="B23" s="17"/>
      <c r="C23" s="22"/>
      <c r="D23" s="23"/>
    </row>
    <row r="24" spans="1:6" ht="15.6">
      <c r="A24" s="17"/>
      <c r="B24" s="17"/>
      <c r="C24" s="22"/>
      <c r="D24" s="23"/>
    </row>
    <row r="25" spans="1:6" ht="15.6">
      <c r="A25" s="17"/>
      <c r="B25" s="17"/>
      <c r="C25" s="22"/>
      <c r="D25" s="23"/>
    </row>
    <row r="26" spans="1:6" ht="15.6">
      <c r="B26" s="17"/>
      <c r="C26" s="22"/>
      <c r="D26" s="23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7745-4B31-4BFC-8690-A5890293E708}">
  <dimension ref="A1:H24"/>
  <sheetViews>
    <sheetView workbookViewId="0">
      <selection activeCell="B9" sqref="B9:C9"/>
    </sheetView>
  </sheetViews>
  <sheetFormatPr defaultRowHeight="14.4"/>
  <cols>
    <col min="1" max="1" width="2.109375" customWidth="1"/>
    <col min="2" max="2" width="23.88671875" customWidth="1"/>
    <col min="3" max="3" width="12.44140625" customWidth="1"/>
    <col min="4" max="4" width="12.5546875" customWidth="1"/>
    <col min="5" max="5" width="12.6640625" customWidth="1"/>
    <col min="6" max="6" width="10.33203125" customWidth="1"/>
    <col min="7" max="7" width="13.33203125" customWidth="1"/>
    <col min="8" max="8" width="2.33203125" customWidth="1"/>
  </cols>
  <sheetData>
    <row r="1" spans="1:8">
      <c r="A1" s="127"/>
      <c r="B1" s="128"/>
      <c r="C1" s="128"/>
      <c r="D1" s="128"/>
      <c r="E1" s="129"/>
      <c r="F1" s="129"/>
      <c r="G1" s="128"/>
      <c r="H1" s="130"/>
    </row>
    <row r="2" spans="1:8" ht="23.4" thickBot="1">
      <c r="A2" s="131"/>
      <c r="B2" s="208" t="s">
        <v>437</v>
      </c>
      <c r="C2" s="208"/>
      <c r="D2" s="208"/>
      <c r="E2" s="208"/>
      <c r="F2" s="208"/>
      <c r="G2" s="208"/>
      <c r="H2" s="132"/>
    </row>
    <row r="3" spans="1:8" ht="19.5" customHeight="1" thickBot="1">
      <c r="A3" s="131"/>
      <c r="B3" s="154" t="s">
        <v>438</v>
      </c>
      <c r="C3" s="166">
        <v>1</v>
      </c>
      <c r="D3" s="158" t="s">
        <v>145</v>
      </c>
      <c r="E3" s="158" t="s">
        <v>439</v>
      </c>
      <c r="F3" s="209" t="s">
        <v>440</v>
      </c>
      <c r="G3" s="209"/>
      <c r="H3" s="132"/>
    </row>
    <row r="4" spans="1:8" ht="19.5" customHeight="1">
      <c r="A4" s="131"/>
      <c r="B4" s="155" t="s">
        <v>441</v>
      </c>
      <c r="C4" s="164" t="s">
        <v>442</v>
      </c>
      <c r="D4" s="159"/>
      <c r="E4" s="160"/>
      <c r="F4" s="210"/>
      <c r="G4" s="210"/>
      <c r="H4" s="132"/>
    </row>
    <row r="5" spans="1:8" ht="19.5" customHeight="1">
      <c r="A5" s="131"/>
      <c r="B5" s="156" t="s">
        <v>443</v>
      </c>
      <c r="C5" s="165" t="s">
        <v>444</v>
      </c>
      <c r="D5" s="158" t="s">
        <v>51</v>
      </c>
      <c r="E5" s="158" t="s">
        <v>50</v>
      </c>
      <c r="F5" s="211" t="s">
        <v>445</v>
      </c>
      <c r="G5" s="211"/>
      <c r="H5" s="132"/>
    </row>
    <row r="6" spans="1:8" ht="19.5" customHeight="1">
      <c r="A6" s="131"/>
      <c r="B6" s="156" t="s">
        <v>446</v>
      </c>
      <c r="C6" s="153"/>
      <c r="D6" s="138"/>
      <c r="E6" s="139"/>
      <c r="F6" s="207"/>
      <c r="G6" s="207"/>
      <c r="H6" s="132"/>
    </row>
    <row r="7" spans="1:8" ht="19.5" customHeight="1">
      <c r="A7" s="131"/>
      <c r="B7" s="125"/>
      <c r="C7" s="125"/>
      <c r="D7" s="125"/>
      <c r="E7" s="126"/>
      <c r="F7" s="126"/>
      <c r="G7" s="125"/>
      <c r="H7" s="132"/>
    </row>
    <row r="8" spans="1:8" ht="19.5" customHeight="1">
      <c r="A8" s="131"/>
      <c r="B8" s="162" t="s">
        <v>5</v>
      </c>
      <c r="C8" s="157" t="s">
        <v>116</v>
      </c>
      <c r="D8" s="157" t="s">
        <v>447</v>
      </c>
      <c r="E8" s="157" t="s">
        <v>448</v>
      </c>
      <c r="F8" s="157" t="s">
        <v>449</v>
      </c>
      <c r="G8" s="157" t="s">
        <v>450</v>
      </c>
      <c r="H8" s="132"/>
    </row>
    <row r="9" spans="1:8" ht="19.5" customHeight="1">
      <c r="A9" s="131"/>
      <c r="B9" s="161">
        <v>100</v>
      </c>
      <c r="C9" s="164" t="s">
        <v>451</v>
      </c>
      <c r="D9" s="140"/>
      <c r="E9" s="163"/>
      <c r="F9" s="141"/>
      <c r="G9" s="142"/>
      <c r="H9" s="132"/>
    </row>
    <row r="10" spans="1:8" ht="19.5" customHeight="1">
      <c r="A10" s="131"/>
      <c r="B10" s="161"/>
      <c r="C10" s="140"/>
      <c r="D10" s="140"/>
      <c r="E10" s="163"/>
      <c r="F10" s="141"/>
      <c r="G10" s="142"/>
      <c r="H10" s="132"/>
    </row>
    <row r="11" spans="1:8" ht="19.5" customHeight="1">
      <c r="A11" s="131"/>
      <c r="B11" s="161"/>
      <c r="C11" s="140"/>
      <c r="D11" s="140"/>
      <c r="E11" s="163"/>
      <c r="F11" s="141"/>
      <c r="G11" s="142"/>
      <c r="H11" s="132"/>
    </row>
    <row r="12" spans="1:8" ht="19.5" customHeight="1">
      <c r="A12" s="131"/>
      <c r="B12" s="161"/>
      <c r="C12" s="140" t="s">
        <v>452</v>
      </c>
      <c r="D12" s="140"/>
      <c r="E12" s="163"/>
      <c r="F12" s="141"/>
      <c r="G12" s="142"/>
      <c r="H12" s="132"/>
    </row>
    <row r="13" spans="1:8" ht="19.5" customHeight="1">
      <c r="A13" s="131"/>
      <c r="B13" s="161"/>
      <c r="C13" s="140" t="s">
        <v>452</v>
      </c>
      <c r="D13" s="140"/>
      <c r="E13" s="163"/>
      <c r="F13" s="141"/>
      <c r="G13" s="142"/>
      <c r="H13" s="132"/>
    </row>
    <row r="14" spans="1:8" ht="19.5" customHeight="1">
      <c r="A14" s="131"/>
      <c r="B14" s="161"/>
      <c r="C14" s="140" t="s">
        <v>452</v>
      </c>
      <c r="D14" s="140"/>
      <c r="E14" s="163"/>
      <c r="F14" s="141"/>
      <c r="G14" s="142"/>
      <c r="H14" s="132"/>
    </row>
    <row r="15" spans="1:8" ht="19.5" customHeight="1">
      <c r="A15" s="131"/>
      <c r="B15" s="161"/>
      <c r="C15" s="140" t="s">
        <v>452</v>
      </c>
      <c r="D15" s="140"/>
      <c r="E15" s="163"/>
      <c r="F15" s="141"/>
      <c r="G15" s="142"/>
      <c r="H15" s="132"/>
    </row>
    <row r="16" spans="1:8" ht="19.5" customHeight="1">
      <c r="A16" s="131"/>
      <c r="B16" s="161"/>
      <c r="C16" s="140" t="s">
        <v>452</v>
      </c>
      <c r="D16" s="140"/>
      <c r="E16" s="163"/>
      <c r="F16" s="141"/>
      <c r="G16" s="142"/>
      <c r="H16" s="132"/>
    </row>
    <row r="17" spans="1:8" ht="19.5" customHeight="1">
      <c r="A17" s="131"/>
      <c r="B17" s="125"/>
      <c r="C17" s="125"/>
      <c r="D17" s="125"/>
      <c r="E17" s="126"/>
      <c r="F17" s="126"/>
      <c r="G17" s="125"/>
      <c r="H17" s="132"/>
    </row>
    <row r="18" spans="1:8" ht="19.5" customHeight="1">
      <c r="A18" s="131"/>
      <c r="B18" s="125"/>
      <c r="C18" s="125"/>
      <c r="D18" s="125"/>
      <c r="E18" s="150" t="s">
        <v>453</v>
      </c>
      <c r="F18" s="144"/>
      <c r="G18" s="145">
        <v>0</v>
      </c>
      <c r="H18" s="132"/>
    </row>
    <row r="19" spans="1:8" ht="19.5" customHeight="1">
      <c r="A19" s="131"/>
      <c r="B19" s="125"/>
      <c r="C19" s="125"/>
      <c r="D19" s="125"/>
      <c r="E19" s="151"/>
      <c r="F19" s="146"/>
      <c r="G19" s="147"/>
      <c r="H19" s="132"/>
    </row>
    <row r="20" spans="1:8" ht="19.5" customHeight="1">
      <c r="A20" s="131"/>
      <c r="B20" s="125"/>
      <c r="C20" s="125"/>
      <c r="D20" s="125"/>
      <c r="E20" s="150" t="s">
        <v>454</v>
      </c>
      <c r="F20" s="144">
        <v>0.05</v>
      </c>
      <c r="G20" s="143"/>
      <c r="H20" s="132"/>
    </row>
    <row r="21" spans="1:8" ht="19.5" customHeight="1">
      <c r="A21" s="131"/>
      <c r="B21" s="125"/>
      <c r="C21" s="125"/>
      <c r="D21" s="125"/>
      <c r="E21" s="150" t="s">
        <v>455</v>
      </c>
      <c r="F21" s="144">
        <v>1.2E-2</v>
      </c>
      <c r="G21" s="143"/>
      <c r="H21" s="132"/>
    </row>
    <row r="22" spans="1:8" ht="19.5" customHeight="1" thickBot="1">
      <c r="A22" s="131"/>
      <c r="B22" s="125"/>
      <c r="C22" s="125"/>
      <c r="D22" s="125"/>
      <c r="E22" s="151"/>
      <c r="F22" s="146"/>
      <c r="G22" s="147"/>
      <c r="H22" s="133"/>
    </row>
    <row r="23" spans="1:8" ht="19.5" customHeight="1" thickBot="1">
      <c r="A23" s="131"/>
      <c r="B23" s="125"/>
      <c r="C23" s="125"/>
      <c r="D23" s="125"/>
      <c r="E23" s="152" t="s">
        <v>426</v>
      </c>
      <c r="F23" s="148"/>
      <c r="G23" s="149"/>
      <c r="H23" s="132"/>
    </row>
    <row r="24" spans="1:8" ht="3.75" customHeight="1" thickBot="1">
      <c r="A24" s="134"/>
      <c r="B24" s="135"/>
      <c r="C24" s="135"/>
      <c r="D24" s="135"/>
      <c r="E24" s="136"/>
      <c r="F24" s="136"/>
      <c r="G24" s="135"/>
      <c r="H24" s="137"/>
    </row>
  </sheetData>
  <mergeCells count="5">
    <mergeCell ref="F6:G6"/>
    <mergeCell ref="B2:G2"/>
    <mergeCell ref="F3:G3"/>
    <mergeCell ref="F4:G4"/>
    <mergeCell ref="F5:G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CD49-FE85-4961-AB31-12BE2065DA3D}">
  <dimension ref="A1:E6"/>
  <sheetViews>
    <sheetView workbookViewId="0">
      <selection sqref="A1:E6"/>
    </sheetView>
  </sheetViews>
  <sheetFormatPr defaultRowHeight="14.4"/>
  <sheetData>
    <row r="1" spans="1:5">
      <c r="A1" s="125" t="s">
        <v>456</v>
      </c>
      <c r="B1" s="125" t="s">
        <v>116</v>
      </c>
      <c r="C1" s="125" t="s">
        <v>447</v>
      </c>
      <c r="D1" s="125" t="s">
        <v>457</v>
      </c>
      <c r="E1" s="126" t="s">
        <v>449</v>
      </c>
    </row>
    <row r="2" spans="1:5">
      <c r="A2" s="167">
        <v>100</v>
      </c>
      <c r="B2" s="167" t="s">
        <v>451</v>
      </c>
      <c r="C2" s="167" t="s">
        <v>458</v>
      </c>
      <c r="D2" s="167" t="s">
        <v>459</v>
      </c>
      <c r="E2" s="168">
        <v>1200</v>
      </c>
    </row>
    <row r="3" spans="1:5">
      <c r="A3" s="167">
        <v>200</v>
      </c>
      <c r="B3" s="167" t="s">
        <v>460</v>
      </c>
      <c r="C3" s="167" t="s">
        <v>461</v>
      </c>
      <c r="D3" s="167" t="s">
        <v>459</v>
      </c>
      <c r="E3" s="168">
        <v>120</v>
      </c>
    </row>
    <row r="4" spans="1:5">
      <c r="A4" s="167">
        <v>300</v>
      </c>
      <c r="B4" s="167" t="s">
        <v>462</v>
      </c>
      <c r="C4" s="167" t="s">
        <v>463</v>
      </c>
      <c r="D4" s="167" t="s">
        <v>459</v>
      </c>
      <c r="E4" s="168">
        <v>350</v>
      </c>
    </row>
    <row r="5" spans="1:5">
      <c r="A5" s="167">
        <v>400</v>
      </c>
      <c r="B5" s="167" t="s">
        <v>464</v>
      </c>
      <c r="C5" s="167" t="s">
        <v>465</v>
      </c>
      <c r="D5" s="167" t="s">
        <v>459</v>
      </c>
      <c r="E5" s="168">
        <v>500</v>
      </c>
    </row>
    <row r="6" spans="1:5">
      <c r="A6" s="167">
        <v>500</v>
      </c>
      <c r="B6" s="167" t="s">
        <v>466</v>
      </c>
      <c r="C6" s="167" t="s">
        <v>467</v>
      </c>
      <c r="D6" s="167" t="s">
        <v>459</v>
      </c>
      <c r="E6" s="168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C273-65B7-4CED-BEBE-431753071CC3}">
  <dimension ref="A1:H6"/>
  <sheetViews>
    <sheetView workbookViewId="0">
      <selection sqref="A1:H6"/>
    </sheetView>
  </sheetViews>
  <sheetFormatPr defaultRowHeight="14.4"/>
  <sheetData>
    <row r="1" spans="1:8">
      <c r="A1" s="125" t="s">
        <v>456</v>
      </c>
      <c r="B1" s="125" t="s">
        <v>468</v>
      </c>
      <c r="C1" s="125" t="s">
        <v>48</v>
      </c>
      <c r="D1" s="125" t="s">
        <v>157</v>
      </c>
      <c r="E1" s="125" t="s">
        <v>49</v>
      </c>
      <c r="F1" s="125" t="s">
        <v>50</v>
      </c>
      <c r="G1" s="170" t="s">
        <v>51</v>
      </c>
      <c r="H1" s="125" t="s">
        <v>469</v>
      </c>
    </row>
    <row r="2" spans="1:8">
      <c r="A2" s="167">
        <v>1</v>
      </c>
      <c r="B2" s="167" t="s">
        <v>442</v>
      </c>
      <c r="C2" s="167" t="s">
        <v>444</v>
      </c>
      <c r="D2" s="167" t="s">
        <v>470</v>
      </c>
      <c r="E2" s="167" t="s">
        <v>194</v>
      </c>
      <c r="F2" s="167" t="s">
        <v>53</v>
      </c>
      <c r="G2" s="169" t="s">
        <v>471</v>
      </c>
      <c r="H2" s="167" t="s">
        <v>472</v>
      </c>
    </row>
    <row r="3" spans="1:8">
      <c r="A3" s="167">
        <v>2</v>
      </c>
      <c r="B3" s="167" t="s">
        <v>473</v>
      </c>
      <c r="C3" s="167" t="s">
        <v>474</v>
      </c>
      <c r="D3" s="167" t="s">
        <v>475</v>
      </c>
      <c r="E3" s="167" t="s">
        <v>194</v>
      </c>
      <c r="F3" s="167" t="s">
        <v>53</v>
      </c>
      <c r="G3" s="169" t="s">
        <v>476</v>
      </c>
      <c r="H3" s="167" t="s">
        <v>477</v>
      </c>
    </row>
    <row r="4" spans="1:8">
      <c r="A4" s="167">
        <v>3</v>
      </c>
      <c r="B4" s="167" t="s">
        <v>478</v>
      </c>
      <c r="C4" s="167" t="s">
        <v>479</v>
      </c>
      <c r="D4" s="167" t="s">
        <v>160</v>
      </c>
      <c r="E4" s="167" t="s">
        <v>194</v>
      </c>
      <c r="F4" s="167" t="s">
        <v>53</v>
      </c>
      <c r="G4" s="169" t="s">
        <v>480</v>
      </c>
      <c r="H4" s="167" t="s">
        <v>481</v>
      </c>
    </row>
    <row r="5" spans="1:8">
      <c r="A5" s="167">
        <v>4</v>
      </c>
      <c r="B5" s="167" t="s">
        <v>482</v>
      </c>
      <c r="C5" s="167" t="s">
        <v>483</v>
      </c>
      <c r="D5" s="167" t="s">
        <v>484</v>
      </c>
      <c r="E5" s="167" t="s">
        <v>182</v>
      </c>
      <c r="F5" s="167" t="s">
        <v>54</v>
      </c>
      <c r="G5" s="169" t="s">
        <v>485</v>
      </c>
      <c r="H5" s="167" t="s">
        <v>486</v>
      </c>
    </row>
    <row r="6" spans="1:8">
      <c r="A6" s="167">
        <v>5</v>
      </c>
      <c r="B6" s="167" t="s">
        <v>487</v>
      </c>
      <c r="C6" s="167" t="s">
        <v>488</v>
      </c>
      <c r="D6" s="167" t="s">
        <v>489</v>
      </c>
      <c r="E6" s="167" t="s">
        <v>182</v>
      </c>
      <c r="F6" s="167" t="s">
        <v>54</v>
      </c>
      <c r="G6" s="169" t="s">
        <v>490</v>
      </c>
      <c r="H6" s="167" t="s">
        <v>491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1E40-7BDB-4F42-8DE0-897D8381797B}">
  <dimension ref="A1:K9"/>
  <sheetViews>
    <sheetView workbookViewId="0">
      <selection activeCell="M8" sqref="M8"/>
    </sheetView>
  </sheetViews>
  <sheetFormatPr defaultRowHeight="14.4"/>
  <cols>
    <col min="3" max="3" width="12.6640625" bestFit="1" customWidth="1"/>
    <col min="4" max="4" width="15.33203125" bestFit="1" customWidth="1"/>
    <col min="8" max="8" width="12.5546875" bestFit="1" customWidth="1"/>
  </cols>
  <sheetData>
    <row r="1" spans="1:11">
      <c r="A1" t="s">
        <v>190</v>
      </c>
      <c r="B1" t="s">
        <v>6</v>
      </c>
      <c r="C1" t="s">
        <v>115</v>
      </c>
      <c r="D1" t="s">
        <v>191</v>
      </c>
      <c r="H1" t="s">
        <v>192</v>
      </c>
    </row>
    <row r="2" spans="1:11">
      <c r="A2">
        <v>1</v>
      </c>
      <c r="B2" t="s">
        <v>193</v>
      </c>
      <c r="C2">
        <v>746</v>
      </c>
      <c r="D2" t="s">
        <v>194</v>
      </c>
      <c r="H2" t="s">
        <v>190</v>
      </c>
      <c r="I2" t="s">
        <v>191</v>
      </c>
      <c r="J2" t="s">
        <v>6</v>
      </c>
      <c r="K2" t="s">
        <v>115</v>
      </c>
    </row>
    <row r="3" spans="1:11">
      <c r="A3">
        <v>2</v>
      </c>
      <c r="B3" t="s">
        <v>195</v>
      </c>
      <c r="C3">
        <v>256</v>
      </c>
      <c r="D3" t="s">
        <v>196</v>
      </c>
      <c r="H3">
        <v>1</v>
      </c>
      <c r="I3" t="s">
        <v>194</v>
      </c>
    </row>
    <row r="4" spans="1:11">
      <c r="A4">
        <v>3</v>
      </c>
      <c r="B4" t="s">
        <v>197</v>
      </c>
      <c r="C4">
        <v>3000</v>
      </c>
      <c r="D4" t="s">
        <v>198</v>
      </c>
    </row>
    <row r="5" spans="1:11">
      <c r="A5">
        <v>4</v>
      </c>
      <c r="B5" t="s">
        <v>199</v>
      </c>
      <c r="C5">
        <v>2896</v>
      </c>
      <c r="D5" t="s">
        <v>170</v>
      </c>
    </row>
    <row r="6" spans="1:11">
      <c r="A6">
        <v>5</v>
      </c>
      <c r="B6" t="s">
        <v>200</v>
      </c>
      <c r="C6">
        <v>1489</v>
      </c>
      <c r="D6" t="s">
        <v>201</v>
      </c>
    </row>
    <row r="7" spans="1:11">
      <c r="A7">
        <v>6</v>
      </c>
      <c r="B7" t="s">
        <v>202</v>
      </c>
      <c r="C7">
        <v>123</v>
      </c>
      <c r="D7" t="s">
        <v>203</v>
      </c>
    </row>
    <row r="8" spans="1:11">
      <c r="A8">
        <v>7</v>
      </c>
      <c r="B8" t="s">
        <v>204</v>
      </c>
      <c r="C8">
        <v>15000</v>
      </c>
      <c r="D8" t="s">
        <v>201</v>
      </c>
    </row>
    <row r="9" spans="1:11">
      <c r="A9">
        <v>8</v>
      </c>
      <c r="B9" t="s">
        <v>205</v>
      </c>
      <c r="C9">
        <v>1254</v>
      </c>
      <c r="D9" t="s">
        <v>194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C044-27F5-41DE-9613-F83B1A23F86A}">
  <dimension ref="A1:H23"/>
  <sheetViews>
    <sheetView workbookViewId="0">
      <selection activeCell="B2" sqref="B2"/>
    </sheetView>
  </sheetViews>
  <sheetFormatPr defaultRowHeight="14.4"/>
  <cols>
    <col min="1" max="1" width="28.6640625" bestFit="1" customWidth="1"/>
    <col min="2" max="2" width="14.33203125" bestFit="1" customWidth="1"/>
    <col min="4" max="4" width="12.109375" bestFit="1" customWidth="1"/>
  </cols>
  <sheetData>
    <row r="1" spans="1:8">
      <c r="A1" s="213" t="s">
        <v>214</v>
      </c>
      <c r="B1" s="213"/>
      <c r="C1" s="213"/>
      <c r="D1" s="213"/>
      <c r="E1" s="213"/>
      <c r="F1" s="213"/>
      <c r="G1" s="213"/>
      <c r="H1" s="59"/>
    </row>
    <row r="2" spans="1:8">
      <c r="A2" s="57" t="s">
        <v>215</v>
      </c>
      <c r="B2" s="1"/>
    </row>
    <row r="3" spans="1:8">
      <c r="A3" s="57" t="s">
        <v>216</v>
      </c>
      <c r="B3" s="1"/>
      <c r="D3" s="214" t="s">
        <v>217</v>
      </c>
      <c r="E3" s="214"/>
    </row>
    <row r="4" spans="1:8">
      <c r="D4" s="58" t="s">
        <v>216</v>
      </c>
      <c r="E4" s="58" t="s">
        <v>115</v>
      </c>
    </row>
    <row r="5" spans="1:8">
      <c r="A5" s="57" t="s">
        <v>218</v>
      </c>
      <c r="B5" s="56">
        <v>25000</v>
      </c>
      <c r="D5" s="2" t="s">
        <v>0</v>
      </c>
      <c r="E5" s="2">
        <v>5000</v>
      </c>
    </row>
    <row r="6" spans="1:8">
      <c r="D6" s="2" t="s">
        <v>1</v>
      </c>
      <c r="E6" s="2">
        <v>4000</v>
      </c>
    </row>
    <row r="7" spans="1:8">
      <c r="A7" s="57" t="s">
        <v>219</v>
      </c>
      <c r="B7" s="1"/>
      <c r="D7" s="2" t="s">
        <v>2</v>
      </c>
      <c r="E7" s="2">
        <v>3000</v>
      </c>
    </row>
    <row r="8" spans="1:8">
      <c r="D8" s="2" t="s">
        <v>3</v>
      </c>
      <c r="E8" s="2">
        <v>2000</v>
      </c>
    </row>
    <row r="9" spans="1:8">
      <c r="A9" s="57" t="s">
        <v>220</v>
      </c>
      <c r="B9" s="1"/>
      <c r="D9" s="2" t="s">
        <v>221</v>
      </c>
      <c r="E9" s="2">
        <v>1000</v>
      </c>
    </row>
    <row r="10" spans="1:8">
      <c r="D10" s="2" t="s">
        <v>222</v>
      </c>
      <c r="E10" s="2">
        <v>500</v>
      </c>
    </row>
    <row r="11" spans="1:8">
      <c r="A11" s="57" t="s">
        <v>223</v>
      </c>
      <c r="B11" s="1"/>
    </row>
    <row r="14" spans="1:8">
      <c r="A14" s="214" t="s">
        <v>224</v>
      </c>
      <c r="B14" s="214"/>
      <c r="C14" s="214"/>
      <c r="D14" s="214"/>
      <c r="E14" s="214"/>
      <c r="F14" s="214"/>
      <c r="G14" s="214"/>
    </row>
    <row r="15" spans="1:8">
      <c r="A15" s="1" t="s">
        <v>216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221</v>
      </c>
      <c r="G15" s="2" t="s">
        <v>222</v>
      </c>
    </row>
    <row r="16" spans="1:8">
      <c r="A16" s="1" t="s">
        <v>225</v>
      </c>
      <c r="B16" s="1" t="s">
        <v>226</v>
      </c>
      <c r="C16" s="1" t="s">
        <v>227</v>
      </c>
      <c r="D16" s="1" t="s">
        <v>228</v>
      </c>
      <c r="E16" s="1" t="s">
        <v>229</v>
      </c>
      <c r="F16" s="1" t="s">
        <v>230</v>
      </c>
      <c r="G16" s="1" t="s">
        <v>231</v>
      </c>
    </row>
    <row r="19" spans="1:8">
      <c r="A19" s="212" t="s">
        <v>232</v>
      </c>
      <c r="B19" s="212"/>
      <c r="C19" s="212"/>
      <c r="D19" s="212"/>
      <c r="E19" s="212"/>
      <c r="F19" s="212"/>
      <c r="G19" s="212"/>
      <c r="H19" s="212"/>
    </row>
    <row r="21" spans="1:8">
      <c r="A21" s="215" t="s">
        <v>233</v>
      </c>
      <c r="B21" s="212"/>
      <c r="C21" s="212"/>
      <c r="D21" s="212"/>
      <c r="E21" s="212"/>
      <c r="F21" s="212"/>
      <c r="G21" s="212"/>
      <c r="H21" s="212"/>
    </row>
    <row r="23" spans="1:8">
      <c r="A23" s="212" t="s">
        <v>234</v>
      </c>
      <c r="B23" s="212"/>
      <c r="C23" s="212"/>
    </row>
  </sheetData>
  <mergeCells count="6">
    <mergeCell ref="A23:C23"/>
    <mergeCell ref="A1:G1"/>
    <mergeCell ref="D3:E3"/>
    <mergeCell ref="A14:G14"/>
    <mergeCell ref="A19:H19"/>
    <mergeCell ref="A21:H2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44FE-242E-4285-95E6-F17C2999518B}">
  <dimension ref="A1:H22"/>
  <sheetViews>
    <sheetView tabSelected="1" workbookViewId="0">
      <selection sqref="A1:I22"/>
    </sheetView>
  </sheetViews>
  <sheetFormatPr defaultRowHeight="14.4"/>
  <sheetData>
    <row r="1" spans="1:8">
      <c r="A1" s="108" t="s">
        <v>388</v>
      </c>
      <c r="B1" s="108" t="s">
        <v>389</v>
      </c>
      <c r="C1" s="108" t="s">
        <v>390</v>
      </c>
      <c r="D1" s="108" t="s">
        <v>391</v>
      </c>
      <c r="E1" s="108" t="s">
        <v>392</v>
      </c>
      <c r="F1" s="108" t="s">
        <v>393</v>
      </c>
      <c r="G1" s="108" t="s">
        <v>394</v>
      </c>
      <c r="H1" s="108" t="s">
        <v>395</v>
      </c>
    </row>
    <row r="2" spans="1:8">
      <c r="A2" s="109" t="s">
        <v>396</v>
      </c>
      <c r="B2" s="109" t="s">
        <v>397</v>
      </c>
      <c r="C2" s="109" t="s">
        <v>222</v>
      </c>
      <c r="D2" s="109">
        <v>30</v>
      </c>
      <c r="E2" s="109" t="s">
        <v>398</v>
      </c>
      <c r="F2" s="109" t="s">
        <v>399</v>
      </c>
      <c r="G2" s="109" t="s">
        <v>400</v>
      </c>
      <c r="H2" s="109">
        <v>1200</v>
      </c>
    </row>
    <row r="3" spans="1:8">
      <c r="A3" s="109" t="s">
        <v>401</v>
      </c>
      <c r="B3" s="109" t="s">
        <v>402</v>
      </c>
      <c r="C3" s="109" t="s">
        <v>222</v>
      </c>
      <c r="D3" s="109">
        <v>25</v>
      </c>
      <c r="E3" s="109" t="s">
        <v>403</v>
      </c>
      <c r="F3" s="109" t="s">
        <v>404</v>
      </c>
      <c r="G3" s="109" t="s">
        <v>405</v>
      </c>
      <c r="H3" s="109">
        <v>1500</v>
      </c>
    </row>
    <row r="4" spans="1:8">
      <c r="A4" s="109" t="s">
        <v>406</v>
      </c>
      <c r="B4" s="109" t="s">
        <v>397</v>
      </c>
      <c r="C4" s="109" t="s">
        <v>249</v>
      </c>
      <c r="D4" s="109">
        <v>40</v>
      </c>
      <c r="E4" s="109" t="s">
        <v>398</v>
      </c>
      <c r="F4" s="109" t="s">
        <v>404</v>
      </c>
      <c r="G4" s="109" t="s">
        <v>407</v>
      </c>
      <c r="H4" s="109">
        <v>1200</v>
      </c>
    </row>
    <row r="5" spans="1:8">
      <c r="A5" s="109" t="s">
        <v>408</v>
      </c>
      <c r="B5" s="109" t="s">
        <v>402</v>
      </c>
      <c r="C5" s="109" t="s">
        <v>249</v>
      </c>
      <c r="D5" s="109">
        <v>50</v>
      </c>
      <c r="E5" s="109" t="s">
        <v>403</v>
      </c>
      <c r="F5" s="109" t="s">
        <v>404</v>
      </c>
      <c r="G5" s="109" t="s">
        <v>405</v>
      </c>
      <c r="H5" s="109">
        <v>1000</v>
      </c>
    </row>
    <row r="6" spans="1:8">
      <c r="A6" s="109" t="s">
        <v>409</v>
      </c>
      <c r="B6" s="109" t="s">
        <v>402</v>
      </c>
      <c r="C6" s="109" t="s">
        <v>249</v>
      </c>
      <c r="D6" s="109">
        <v>20</v>
      </c>
      <c r="E6" s="109" t="s">
        <v>398</v>
      </c>
      <c r="F6" s="109" t="s">
        <v>404</v>
      </c>
      <c r="G6" s="109" t="s">
        <v>410</v>
      </c>
      <c r="H6" s="109">
        <v>2000</v>
      </c>
    </row>
    <row r="7" spans="1:8">
      <c r="A7" s="109" t="s">
        <v>411</v>
      </c>
      <c r="B7" s="109" t="s">
        <v>402</v>
      </c>
      <c r="C7" s="109" t="s">
        <v>222</v>
      </c>
      <c r="D7" s="109">
        <v>25</v>
      </c>
      <c r="E7" s="109" t="s">
        <v>398</v>
      </c>
      <c r="F7" s="109" t="s">
        <v>399</v>
      </c>
      <c r="G7" s="109" t="s">
        <v>412</v>
      </c>
      <c r="H7" s="109">
        <v>1500</v>
      </c>
    </row>
    <row r="8" spans="1:8">
      <c r="A8" s="109" t="s">
        <v>413</v>
      </c>
      <c r="B8" s="109" t="s">
        <v>397</v>
      </c>
      <c r="C8" s="109" t="s">
        <v>222</v>
      </c>
      <c r="D8" s="109">
        <v>28</v>
      </c>
      <c r="E8" s="109" t="s">
        <v>398</v>
      </c>
      <c r="F8" s="109" t="s">
        <v>399</v>
      </c>
      <c r="G8" s="109" t="s">
        <v>405</v>
      </c>
      <c r="H8" s="109">
        <v>2500</v>
      </c>
    </row>
    <row r="9" spans="1:8">
      <c r="A9" s="109" t="s">
        <v>414</v>
      </c>
      <c r="B9" s="109" t="s">
        <v>415</v>
      </c>
      <c r="C9" s="109" t="s">
        <v>249</v>
      </c>
      <c r="D9" s="109">
        <v>20</v>
      </c>
      <c r="E9" s="109" t="s">
        <v>403</v>
      </c>
      <c r="F9" s="109" t="s">
        <v>404</v>
      </c>
      <c r="G9" s="109" t="s">
        <v>400</v>
      </c>
      <c r="H9" s="109">
        <v>1200</v>
      </c>
    </row>
    <row r="10" spans="1:8">
      <c r="A10" s="109" t="s">
        <v>416</v>
      </c>
      <c r="B10" s="109" t="s">
        <v>415</v>
      </c>
      <c r="C10" s="109" t="s">
        <v>249</v>
      </c>
      <c r="D10" s="109">
        <v>25</v>
      </c>
      <c r="E10" s="109" t="s">
        <v>403</v>
      </c>
      <c r="F10" s="109" t="s">
        <v>399</v>
      </c>
      <c r="G10" s="109" t="s">
        <v>400</v>
      </c>
      <c r="H10" s="109">
        <v>1500</v>
      </c>
    </row>
    <row r="11" spans="1:8">
      <c r="A11" s="109" t="s">
        <v>417</v>
      </c>
      <c r="B11" s="109" t="s">
        <v>402</v>
      </c>
      <c r="C11" s="109" t="s">
        <v>222</v>
      </c>
      <c r="D11" s="109">
        <v>30</v>
      </c>
      <c r="E11" s="109" t="s">
        <v>398</v>
      </c>
      <c r="F11" s="109" t="s">
        <v>404</v>
      </c>
      <c r="G11" s="109" t="s">
        <v>407</v>
      </c>
      <c r="H11" s="109">
        <v>3200</v>
      </c>
    </row>
    <row r="13" spans="1:8">
      <c r="A13" s="25" t="s">
        <v>418</v>
      </c>
    </row>
    <row r="14" spans="1:8">
      <c r="A14" s="25"/>
    </row>
    <row r="15" spans="1:8">
      <c r="A15" t="s">
        <v>419</v>
      </c>
      <c r="H15" s="114"/>
    </row>
    <row r="16" spans="1:8">
      <c r="A16" t="s">
        <v>420</v>
      </c>
      <c r="H16" s="114"/>
    </row>
    <row r="17" spans="1:8">
      <c r="A17" t="s">
        <v>421</v>
      </c>
      <c r="H17" s="114"/>
    </row>
    <row r="19" spans="1:8">
      <c r="A19" t="s">
        <v>422</v>
      </c>
      <c r="H19" s="114"/>
    </row>
    <row r="20" spans="1:8">
      <c r="A20" t="s">
        <v>423</v>
      </c>
      <c r="H20" s="114"/>
    </row>
    <row r="22" spans="1:8">
      <c r="A22" t="s">
        <v>424</v>
      </c>
      <c r="H22" s="1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Funcionalidades Básicas</vt:lpstr>
      <vt:lpstr>Funionalidades Básicas II</vt:lpstr>
      <vt:lpstr>ProcV e ProcH</vt:lpstr>
      <vt:lpstr>Base De dados</vt:lpstr>
      <vt:lpstr>Revisão I</vt:lpstr>
      <vt:lpstr>Revisão II</vt:lpstr>
      <vt:lpstr>Revisão III</vt:lpstr>
      <vt:lpstr>Revisão IV</vt:lpstr>
      <vt:lpstr>Exercício 2</vt:lpstr>
      <vt:lpstr>Exercício 3</vt:lpstr>
      <vt:lpstr>Exercício 4</vt:lpstr>
      <vt:lpstr>Exercício 5</vt:lpstr>
      <vt:lpstr>Exercícios 6</vt:lpstr>
      <vt:lpstr>Exercício 7</vt:lpstr>
      <vt:lpstr>Produto</vt:lpstr>
      <vt:lpstr>Cliente</vt:lpstr>
      <vt:lpstr>Exercício 8</vt:lpstr>
      <vt:lpstr>Exercício 9</vt:lpstr>
      <vt:lpstr>Exercício 10</vt:lpstr>
      <vt:lpstr>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Vinícius Tessele</cp:lastModifiedBy>
  <dcterms:created xsi:type="dcterms:W3CDTF">2022-10-14T17:56:47Z</dcterms:created>
  <dcterms:modified xsi:type="dcterms:W3CDTF">2024-07-22T21:48:43Z</dcterms:modified>
</cp:coreProperties>
</file>