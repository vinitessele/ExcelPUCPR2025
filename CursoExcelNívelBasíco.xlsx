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riverGoogle\VNT - Sistemas\Curso Excel PUC PR 2025\"/>
    </mc:Choice>
  </mc:AlternateContent>
  <xr:revisionPtr revIDLastSave="0" documentId="13_ncr:1_{17A56F11-476C-4A36-808D-1F9DC88E55D8}" xr6:coauthVersionLast="47" xr6:coauthVersionMax="47" xr10:uidLastSave="{00000000-0000-0000-0000-000000000000}"/>
  <bookViews>
    <workbookView xWindow="-108" yWindow="-108" windowWidth="23256" windowHeight="12456" firstSheet="3" activeTab="9" xr2:uid="{605DF2BF-276D-48A0-BE76-C09545DFF1E0}"/>
  </bookViews>
  <sheets>
    <sheet name="Funcionalidades Básicas" sheetId="1" r:id="rId1"/>
    <sheet name="Funcionalidade Básica II" sheetId="8" r:id="rId2"/>
    <sheet name="Exercício 1" sheetId="2" r:id="rId3"/>
    <sheet name="Exercício 2" sheetId="3" r:id="rId4"/>
    <sheet name="Exercício 3" sheetId="4" r:id="rId5"/>
    <sheet name="Exercício 4" sheetId="5" r:id="rId6"/>
    <sheet name="Exercício 5" sheetId="6" r:id="rId7"/>
    <sheet name="Exercícios 6" sheetId="7" r:id="rId8"/>
    <sheet name="Exercícios 7" sheetId="9" r:id="rId9"/>
    <sheet name="Exercício 8" sheetId="10" r:id="rId10"/>
  </sheets>
  <definedNames>
    <definedName name="_xlnm._FilterDatabase" localSheetId="1" hidden="1">'Funcionalidade Básica II'!$A$3:$H$13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" i="6" l="1"/>
  <c r="K5" i="6"/>
  <c r="K6" i="6"/>
  <c r="K7" i="6"/>
  <c r="K8" i="6"/>
  <c r="K9" i="6"/>
  <c r="K10" i="6"/>
  <c r="K11" i="6"/>
  <c r="K12" i="6"/>
  <c r="K13" i="6"/>
  <c r="K3" i="6"/>
  <c r="J4" i="6"/>
  <c r="J5" i="6"/>
  <c r="J6" i="6"/>
  <c r="J7" i="6"/>
  <c r="J8" i="6"/>
  <c r="J9" i="6"/>
  <c r="J10" i="6"/>
  <c r="J11" i="6"/>
  <c r="J12" i="6"/>
  <c r="J13" i="6"/>
  <c r="J3" i="6"/>
  <c r="G4" i="6"/>
  <c r="I4" i="6" s="1"/>
  <c r="G5" i="6"/>
  <c r="I5" i="6" s="1"/>
  <c r="G6" i="6"/>
  <c r="G7" i="6"/>
  <c r="I7" i="6" s="1"/>
  <c r="G8" i="6"/>
  <c r="I8" i="6" s="1"/>
  <c r="G9" i="6"/>
  <c r="I9" i="6" s="1"/>
  <c r="G10" i="6"/>
  <c r="I10" i="6" s="1"/>
  <c r="G11" i="6"/>
  <c r="I11" i="6" s="1"/>
  <c r="G12" i="6"/>
  <c r="I12" i="6" s="1"/>
  <c r="G13" i="6"/>
  <c r="I13" i="6" s="1"/>
  <c r="I6" i="6"/>
  <c r="G3" i="6"/>
  <c r="I3" i="6" s="1"/>
  <c r="N25" i="1"/>
  <c r="K25" i="1"/>
  <c r="K24" i="1"/>
  <c r="K19" i="1"/>
  <c r="K18" i="1"/>
  <c r="G22" i="1" l="1"/>
  <c r="E30" i="1"/>
  <c r="D30" i="1"/>
  <c r="C38" i="1"/>
  <c r="E37" i="1"/>
  <c r="E38" i="1" s="1"/>
  <c r="C36" i="1"/>
  <c r="E35" i="1"/>
  <c r="E36" i="1" s="1"/>
  <c r="C34" i="1"/>
  <c r="E33" i="1"/>
  <c r="E34" i="1" s="1"/>
  <c r="G19" i="1"/>
  <c r="G20" i="1"/>
  <c r="G21" i="1"/>
  <c r="G23" i="1"/>
  <c r="G24" i="1"/>
  <c r="G25" i="1"/>
  <c r="G26" i="1"/>
  <c r="G27" i="1"/>
  <c r="G18" i="1"/>
  <c r="D27" i="1"/>
  <c r="D26" i="1"/>
  <c r="D25" i="1"/>
  <c r="D24" i="1"/>
  <c r="D23" i="1"/>
  <c r="D22" i="1"/>
  <c r="D21" i="1"/>
  <c r="D20" i="1"/>
  <c r="D19" i="1"/>
  <c r="D18" i="1"/>
  <c r="E13" i="1" l="1"/>
  <c r="D13" i="1"/>
  <c r="E7" i="1"/>
  <c r="E3" i="1"/>
  <c r="E12" i="1"/>
  <c r="J15" i="1" s="1"/>
  <c r="E15" i="1" s="1"/>
  <c r="E14" i="1" s="1"/>
  <c r="E11" i="1"/>
  <c r="E10" i="1"/>
  <c r="E9" i="1"/>
  <c r="D9" i="1"/>
  <c r="E8" i="1"/>
  <c r="D8" i="1"/>
  <c r="D7" i="1"/>
  <c r="E6" i="1"/>
  <c r="D6" i="1"/>
  <c r="E5" i="1"/>
  <c r="D5" i="1"/>
  <c r="E4" i="1"/>
  <c r="D4" i="1"/>
  <c r="D3" i="1"/>
</calcChain>
</file>

<file path=xl/sharedStrings.xml><?xml version="1.0" encoding="utf-8"?>
<sst xmlns="http://schemas.openxmlformats.org/spreadsheetml/2006/main" count="456" uniqueCount="361">
  <si>
    <t>Operação</t>
  </si>
  <si>
    <t>Formula Visual</t>
  </si>
  <si>
    <t>Calculo Fixo</t>
  </si>
  <si>
    <t>Soma</t>
  </si>
  <si>
    <t xml:space="preserve">A+B </t>
  </si>
  <si>
    <t>Subtração</t>
  </si>
  <si>
    <t>A-B</t>
  </si>
  <si>
    <t>Multiplicação</t>
  </si>
  <si>
    <t>A*B</t>
  </si>
  <si>
    <t>Divisão</t>
  </si>
  <si>
    <t>A/B</t>
  </si>
  <si>
    <t>Equação 1º Grau</t>
  </si>
  <si>
    <t>A+B/C</t>
  </si>
  <si>
    <t>(A+B)/C</t>
  </si>
  <si>
    <t>Somar Valores</t>
  </si>
  <si>
    <t>A+B+C+D</t>
  </si>
  <si>
    <t>SOMA(A:D)</t>
  </si>
  <si>
    <t>Media Valores</t>
  </si>
  <si>
    <t>(A+B+C+D)/4</t>
  </si>
  <si>
    <t>MÉDIA(A:D)</t>
  </si>
  <si>
    <t>Mensagem Dinamica</t>
  </si>
  <si>
    <t>"Texto"&amp;"Texto"</t>
  </si>
  <si>
    <t>"Texto1"&amp;"Texto2"&amp;"Texto3"&amp;Resultado</t>
  </si>
  <si>
    <t>Formula Logica (SE)</t>
  </si>
  <si>
    <t>RASCUNHO</t>
  </si>
  <si>
    <t>A</t>
  </si>
  <si>
    <t>B</t>
  </si>
  <si>
    <t>C</t>
  </si>
  <si>
    <t>D</t>
  </si>
  <si>
    <t xml:space="preserve">Nome: </t>
  </si>
  <si>
    <t>Maria</t>
  </si>
  <si>
    <t xml:space="preserve">João </t>
  </si>
  <si>
    <t xml:space="preserve">| Média: </t>
  </si>
  <si>
    <t>SE(J15&gt;=7;"APROVADO";"REPROVADO")</t>
  </si>
  <si>
    <t xml:space="preserve">Controle de estoque - Vnt Informática </t>
  </si>
  <si>
    <t>Código</t>
  </si>
  <si>
    <t>Setor</t>
  </si>
  <si>
    <t>Produto</t>
  </si>
  <si>
    <t>Qtde</t>
  </si>
  <si>
    <t>Preço Unit.</t>
  </si>
  <si>
    <t>Total</t>
  </si>
  <si>
    <t>Vendas</t>
  </si>
  <si>
    <t>Teclado P2</t>
  </si>
  <si>
    <t>Marketing</t>
  </si>
  <si>
    <t>Monitor LCD</t>
  </si>
  <si>
    <t>Finanças</t>
  </si>
  <si>
    <t>Gabinete</t>
  </si>
  <si>
    <t>CPU i5</t>
  </si>
  <si>
    <t>1- Calcular o valor para coluna total</t>
  </si>
  <si>
    <t>2- Calcular a quantidade total de produtos e o total em valor</t>
  </si>
  <si>
    <t>VENDA DE EQUIPAMENTOS</t>
  </si>
  <si>
    <t>Cotação do dólar:</t>
  </si>
  <si>
    <t>Equipamento</t>
  </si>
  <si>
    <t>Valor em dólar</t>
  </si>
  <si>
    <t>Valor em Real</t>
  </si>
  <si>
    <t>Quantidade a comprar</t>
  </si>
  <si>
    <t>Total por equipamento</t>
  </si>
  <si>
    <t>Impressora</t>
  </si>
  <si>
    <t>Scaner</t>
  </si>
  <si>
    <t>Estabilizador</t>
  </si>
  <si>
    <t>Placa de Fax</t>
  </si>
  <si>
    <t>Kit Multimídia</t>
  </si>
  <si>
    <t>TOTAL</t>
  </si>
  <si>
    <t>1- Cálculo do valor em R$</t>
  </si>
  <si>
    <t>2- Total por equipamentos</t>
  </si>
  <si>
    <t>3- Soma total dos equipamentos</t>
  </si>
  <si>
    <t>Exemplo 1</t>
  </si>
  <si>
    <t>Exemplo 2</t>
  </si>
  <si>
    <t>Segunda-feira</t>
  </si>
  <si>
    <t>Terça-feira</t>
  </si>
  <si>
    <t>Quarta-feira</t>
  </si>
  <si>
    <t>Quinta-feira</t>
  </si>
  <si>
    <t>Sexta-feira</t>
  </si>
  <si>
    <t>Sábado</t>
  </si>
  <si>
    <t>Domingo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</si>
  <si>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</si>
  <si>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</si>
  <si>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</si>
  <si>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</si>
  <si>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</si>
  <si>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</si>
  <si>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</si>
  <si>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</si>
  <si>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</si>
  <si>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</si>
  <si>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</si>
  <si>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</si>
  <si>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Variavel A</t>
  </si>
  <si>
    <t>Varivel B</t>
  </si>
  <si>
    <t>Resultado</t>
  </si>
  <si>
    <t>Variavel B</t>
  </si>
  <si>
    <t>Hora==&gt;</t>
  </si>
  <si>
    <t>Dia==&gt;</t>
  </si>
  <si>
    <t>Minuto ==&gt;</t>
  </si>
  <si>
    <t>Mês ==&gt;</t>
  </si>
  <si>
    <t>Segundo==&gt;</t>
  </si>
  <si>
    <t>Ano==&gt;</t>
  </si>
  <si>
    <t>VENDAS MENSAIS</t>
  </si>
  <si>
    <t>EMPRESA</t>
  </si>
  <si>
    <t>FILIAL</t>
  </si>
  <si>
    <t>MÊS</t>
  </si>
  <si>
    <t>VENDAS</t>
  </si>
  <si>
    <t>Grupo Ouro Verde</t>
  </si>
  <si>
    <t>Campo Grande</t>
  </si>
  <si>
    <t>ABR</t>
  </si>
  <si>
    <t>Porto Alegre</t>
  </si>
  <si>
    <t>FEV</t>
  </si>
  <si>
    <t>Londrina</t>
  </si>
  <si>
    <t>Maringá</t>
  </si>
  <si>
    <t>JAN</t>
  </si>
  <si>
    <t>Dourados</t>
  </si>
  <si>
    <t>Cancas</t>
  </si>
  <si>
    <t>MAI</t>
  </si>
  <si>
    <t xml:space="preserve">1. Mescle o título "Vendas Mensais" </t>
  </si>
  <si>
    <t>2. Coloque em negrito os títulos da linha 2 e formate o planilha usando sua criatividade</t>
  </si>
  <si>
    <t>3. Função: Soma</t>
  </si>
  <si>
    <t>4. Renomei a Planilha</t>
  </si>
  <si>
    <t>ATLETA</t>
  </si>
  <si>
    <t>Etapa 1</t>
  </si>
  <si>
    <t>Etapa 2</t>
  </si>
  <si>
    <t>Etapa 3</t>
  </si>
  <si>
    <t>Etapa 4</t>
  </si>
  <si>
    <t>Total de Pontos</t>
  </si>
  <si>
    <t>Reginaldo</t>
  </si>
  <si>
    <t>Antonio</t>
  </si>
  <si>
    <t>Charles</t>
  </si>
  <si>
    <t>Edson</t>
  </si>
  <si>
    <t>Rico</t>
  </si>
  <si>
    <t>Leandro</t>
  </si>
  <si>
    <t>Mário</t>
  </si>
  <si>
    <t>Edcarlos</t>
  </si>
  <si>
    <t>1° Colocado</t>
  </si>
  <si>
    <t>2° Colocado</t>
  </si>
  <si>
    <t>3° Colocado</t>
  </si>
  <si>
    <t>Penúltimo colocado</t>
  </si>
  <si>
    <t>Último Colocado</t>
  </si>
  <si>
    <t xml:space="preserve">1. Formate a tabela </t>
  </si>
  <si>
    <t>2. Utilize funções para encontrar os resultados.</t>
  </si>
  <si>
    <t>Calculo Dinâmico</t>
  </si>
  <si>
    <t>Trabalhando do Datas</t>
  </si>
  <si>
    <t>Funções e Fórmulas</t>
  </si>
  <si>
    <t>Auto Preenchimento</t>
  </si>
  <si>
    <t>1 Maior</t>
  </si>
  <si>
    <t>2 Maior</t>
  </si>
  <si>
    <t>3 Maior</t>
  </si>
  <si>
    <t>4 Maior</t>
  </si>
  <si>
    <t>Maior</t>
  </si>
  <si>
    <t>Menor</t>
  </si>
  <si>
    <t>1 Menor</t>
  </si>
  <si>
    <t>2 Menor</t>
  </si>
  <si>
    <t>3 Menor</t>
  </si>
  <si>
    <t>4 Menor</t>
  </si>
  <si>
    <t>RELAÇÃO DE ALUNOS MATRICULADOS NO CURSO DE INFORMÁTICA</t>
  </si>
  <si>
    <t>N°</t>
  </si>
  <si>
    <t>NOME</t>
  </si>
  <si>
    <t>NOTA1</t>
  </si>
  <si>
    <t>NOTA2</t>
  </si>
  <si>
    <t>NOTA3</t>
  </si>
  <si>
    <t>NOTA4</t>
  </si>
  <si>
    <t>MÉDIA</t>
  </si>
  <si>
    <t>André Henrique</t>
  </si>
  <si>
    <t>Marcos Aurélio</t>
  </si>
  <si>
    <t>Marcos Paulo</t>
  </si>
  <si>
    <t>Mariza Andrade</t>
  </si>
  <si>
    <t>Pedro Henrique</t>
  </si>
  <si>
    <t>João Pedro</t>
  </si>
  <si>
    <t>João Vitor</t>
  </si>
  <si>
    <t>Ana Paula</t>
  </si>
  <si>
    <t>Enzo Rodriguez</t>
  </si>
  <si>
    <t>Marcelo José</t>
  </si>
  <si>
    <t xml:space="preserve">José Gilberto </t>
  </si>
  <si>
    <t xml:space="preserve">1. Formatar a tabela </t>
  </si>
  <si>
    <t>2. Calcular a média da turma</t>
  </si>
  <si>
    <t>Maior Média</t>
  </si>
  <si>
    <t>Menor Média</t>
  </si>
  <si>
    <t>Média da Turma</t>
  </si>
  <si>
    <t>3. Apresentar Maior Médida</t>
  </si>
  <si>
    <t>4. Apresentar a Menor média</t>
  </si>
  <si>
    <t>Preços de Automóveis</t>
  </si>
  <si>
    <t>Modelo</t>
  </si>
  <si>
    <t>Categoria</t>
  </si>
  <si>
    <t>Marca</t>
  </si>
  <si>
    <t>Preço (R$)</t>
  </si>
  <si>
    <t>Astra</t>
  </si>
  <si>
    <t>Sedan</t>
  </si>
  <si>
    <t>GM</t>
  </si>
  <si>
    <t>Blazer</t>
  </si>
  <si>
    <t>Pick up</t>
  </si>
  <si>
    <t>Corsa Wind</t>
  </si>
  <si>
    <t>Econômico</t>
  </si>
  <si>
    <t>Courier</t>
  </si>
  <si>
    <t>Furgão</t>
  </si>
  <si>
    <t>Ford</t>
  </si>
  <si>
    <t>Escort</t>
  </si>
  <si>
    <t>Fiesta</t>
  </si>
  <si>
    <t>Fiorino</t>
  </si>
  <si>
    <t>Fiat</t>
  </si>
  <si>
    <t>Gol 1000</t>
  </si>
  <si>
    <t>VW</t>
  </si>
  <si>
    <t>KA</t>
  </si>
  <si>
    <t>Kombi Furgão</t>
  </si>
  <si>
    <t>Marea</t>
  </si>
  <si>
    <t>Marea Weekend</t>
  </si>
  <si>
    <t>Perua</t>
  </si>
  <si>
    <t>Palio</t>
  </si>
  <si>
    <t>Parati</t>
  </si>
  <si>
    <t>Ranger</t>
  </si>
  <si>
    <t>S10</t>
  </si>
  <si>
    <t>Vectra</t>
  </si>
  <si>
    <t>Selecionar o intervalo dos dados A3:D20</t>
  </si>
  <si>
    <t>No Menu dados clique em filtro</t>
  </si>
  <si>
    <t>Cadastro de Fornecedores</t>
  </si>
  <si>
    <t>Nome</t>
  </si>
  <si>
    <t>Endereço</t>
  </si>
  <si>
    <t>Cidade</t>
  </si>
  <si>
    <t>UF</t>
  </si>
  <si>
    <t>CEP</t>
  </si>
  <si>
    <t>Telefone</t>
  </si>
  <si>
    <t>E-mail</t>
  </si>
  <si>
    <t>Nome Fornecedor 1</t>
  </si>
  <si>
    <t>Rua Endereço Fornecedor 1</t>
  </si>
  <si>
    <t>Cidade Fornecedor 1</t>
  </si>
  <si>
    <t>SP</t>
  </si>
  <si>
    <t>12345-123</t>
  </si>
  <si>
    <t>Fornecedor1@empresa.com.br</t>
  </si>
  <si>
    <t>Nome Fornecedor 2</t>
  </si>
  <si>
    <t>Rua Endereço Fornecedor 2</t>
  </si>
  <si>
    <t>Cidade Fornecedor 2</t>
  </si>
  <si>
    <t>RJ</t>
  </si>
  <si>
    <t>12345-124</t>
  </si>
  <si>
    <t>Nome Fornecedor 3</t>
  </si>
  <si>
    <t>Rua Endereço Fornecedor 3</t>
  </si>
  <si>
    <t>Cidade Fornecedor 3</t>
  </si>
  <si>
    <t>MG</t>
  </si>
  <si>
    <t>12345-125</t>
  </si>
  <si>
    <t>Nome Fornecedor 4</t>
  </si>
  <si>
    <t>Rua Endereço Fornecedor 4</t>
  </si>
  <si>
    <t>Cidade Fornecedor 4</t>
  </si>
  <si>
    <t>BA</t>
  </si>
  <si>
    <t>12345-126</t>
  </si>
  <si>
    <t>Nome Fornecedor 5</t>
  </si>
  <si>
    <t>Rua Endereço Fornecedor 5</t>
  </si>
  <si>
    <t>Cidade Fornecedor 5</t>
  </si>
  <si>
    <t>MT</t>
  </si>
  <si>
    <t>12345-127</t>
  </si>
  <si>
    <t>Nome Fornecedor 6</t>
  </si>
  <si>
    <t>Rua Endereço Fornecedor 6</t>
  </si>
  <si>
    <t>Cidade Fornecedor 6</t>
  </si>
  <si>
    <t>12345-128</t>
  </si>
  <si>
    <t>Nome Fornecedor 7</t>
  </si>
  <si>
    <t>Rua Endereço Fornecedor 7</t>
  </si>
  <si>
    <t>Cidade Fornecedor 7</t>
  </si>
  <si>
    <t>RS</t>
  </si>
  <si>
    <t>12345-129</t>
  </si>
  <si>
    <t>Nome Fornecedor 8</t>
  </si>
  <si>
    <t>Rua Endereço Fornecedor 8</t>
  </si>
  <si>
    <t>Cidade Fornecedor 8</t>
  </si>
  <si>
    <t>AC</t>
  </si>
  <si>
    <t>12345-130</t>
  </si>
  <si>
    <t>Nome Fornecedor 9</t>
  </si>
  <si>
    <t>Rua Endereço Fornecedor 9</t>
  </si>
  <si>
    <t>Cidade Fornecedor 9</t>
  </si>
  <si>
    <t>12345-131</t>
  </si>
  <si>
    <t>Nome Fornecedor 10</t>
  </si>
  <si>
    <t>Rua Endereço Fornecedor 10</t>
  </si>
  <si>
    <t>Cidade Fornecedor 10</t>
  </si>
  <si>
    <t>12345-132</t>
  </si>
  <si>
    <t>Remover Duplicados</t>
  </si>
  <si>
    <t>REGRA</t>
  </si>
  <si>
    <t xml:space="preserve">MÉDIA&lt;=500=COMISSÃO DE </t>
  </si>
  <si>
    <t>RANKING</t>
  </si>
  <si>
    <t>VENDEDOR</t>
  </si>
  <si>
    <t>MAR</t>
  </si>
  <si>
    <t>COMISSÃO</t>
  </si>
  <si>
    <t xml:space="preserve">MÉDIA&lt;=800=COMISSÃO DE </t>
  </si>
  <si>
    <t>1º</t>
  </si>
  <si>
    <t>RAQUEL</t>
  </si>
  <si>
    <t xml:space="preserve">MÉDIA&gt;=800=COMISSÃO DE </t>
  </si>
  <si>
    <t>2º</t>
  </si>
  <si>
    <t>ADRIANA</t>
  </si>
  <si>
    <t>3º</t>
  </si>
  <si>
    <t>PAULO</t>
  </si>
  <si>
    <t>4º</t>
  </si>
  <si>
    <t>MAURO</t>
  </si>
  <si>
    <t>5º</t>
  </si>
  <si>
    <t>CLINTON</t>
  </si>
  <si>
    <t>6º</t>
  </si>
  <si>
    <t>CÉSAR</t>
  </si>
  <si>
    <t>7º</t>
  </si>
  <si>
    <t>JOÃO</t>
  </si>
  <si>
    <t>8º</t>
  </si>
  <si>
    <t xml:space="preserve">MARIA </t>
  </si>
  <si>
    <t>9º</t>
  </si>
  <si>
    <t>JUCA</t>
  </si>
  <si>
    <t>1. Calcule a média das vendas de cada vendedor</t>
  </si>
  <si>
    <t>2. Calcule o total de vendas por mês</t>
  </si>
  <si>
    <t>3. Calcule o valor da comissão com base na tabela "Regra da Comissão" utilizando a função SE</t>
  </si>
  <si>
    <t>4. Faça um gráfico de pizza utilizando a média em porcentagem</t>
  </si>
  <si>
    <t>PLANILHAS DE VENDAS DO 1º TRIMESTRE - 2022</t>
  </si>
  <si>
    <t>Marta</t>
  </si>
  <si>
    <t xml:space="preserve">Nome </t>
  </si>
  <si>
    <t>Salário</t>
  </si>
  <si>
    <t>Aumento</t>
  </si>
  <si>
    <t>Novo Salário</t>
  </si>
  <si>
    <t>João dos Santos</t>
  </si>
  <si>
    <t>Maria da Silva</t>
  </si>
  <si>
    <t>&gt;=1000</t>
  </si>
  <si>
    <t>Manoel das Flores</t>
  </si>
  <si>
    <t>Lambarildo Peixe</t>
  </si>
  <si>
    <t>Some os valores do "salário" e o valor do "Aumento"</t>
  </si>
  <si>
    <t>Sebastião Souza</t>
  </si>
  <si>
    <t>para gerar o novo salário dos funcionários</t>
  </si>
  <si>
    <t>Ana Flávia Silveira</t>
  </si>
  <si>
    <t>Silvia Helena Santos</t>
  </si>
  <si>
    <t>Alberto Roberto</t>
  </si>
  <si>
    <t>5. Use a formatação condicional para colorir o resultado final</t>
  </si>
  <si>
    <t>Formatação condicional</t>
  </si>
  <si>
    <t>Média Notas</t>
  </si>
  <si>
    <t>Reprovado</t>
  </si>
  <si>
    <t>Aprovado</t>
  </si>
  <si>
    <t>Referência Absoluta</t>
  </si>
  <si>
    <t>Classificar</t>
  </si>
  <si>
    <t>Pedro</t>
  </si>
  <si>
    <t>Marcos</t>
  </si>
  <si>
    <t>Adriane</t>
  </si>
  <si>
    <t>Valéria</t>
  </si>
  <si>
    <t>Mariza</t>
  </si>
  <si>
    <t>Jessica</t>
  </si>
  <si>
    <t>Francisco</t>
  </si>
  <si>
    <t>ALUNO</t>
  </si>
  <si>
    <t>MÉDIAS</t>
  </si>
  <si>
    <t>João </t>
  </si>
  <si>
    <t>Maria </t>
  </si>
  <si>
    <t>Márcio </t>
  </si>
  <si>
    <t>Déborah</t>
  </si>
  <si>
    <t>Andrea</t>
  </si>
  <si>
    <t>Funções Cont</t>
  </si>
  <si>
    <t>Contribuição</t>
  </si>
  <si>
    <t>Paulo</t>
  </si>
  <si>
    <t xml:space="preserve"> =CONT.NÚM(intervalo)</t>
  </si>
  <si>
    <t>Ana</t>
  </si>
  <si>
    <t>Quantas pessoas contribuiram para o evento?</t>
  </si>
  <si>
    <t>Osmar</t>
  </si>
  <si>
    <t>Rita</t>
  </si>
  <si>
    <t xml:space="preserve"> =CONTAR.VAZIO(intervalor)</t>
  </si>
  <si>
    <t>Kátia</t>
  </si>
  <si>
    <t>Quantas pessoas NÃO contribuiram para o evento?</t>
  </si>
  <si>
    <t>Hugo</t>
  </si>
  <si>
    <t>Antônio</t>
  </si>
  <si>
    <t xml:space="preserve"> =CONT.VALORES(intervalo)</t>
  </si>
  <si>
    <t>João</t>
  </si>
  <si>
    <t>Total de pessoas listadas</t>
  </si>
  <si>
    <t>Tadeu</t>
  </si>
  <si>
    <t>Sônia</t>
  </si>
  <si>
    <t>Renata</t>
  </si>
  <si>
    <t>Fernanda</t>
  </si>
  <si>
    <t>FREQUENCIA</t>
  </si>
  <si>
    <t>RESULTADO Nota</t>
  </si>
  <si>
    <t>Resultado Frequencia</t>
  </si>
  <si>
    <t>Resultado Final</t>
  </si>
  <si>
    <t>&lt;1000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</si>
</sst>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-&quot;R$&quot;\ * #,##0_-;\-&quot;R$&quot;\ * #,##0_-;_-&quot;R$&quot;\ * &quot;-&quot;_-;_-@_-"/>
    <numFmt numFmtId="44" formatCode="_-&quot;R$&quot;\ * #,##0.00_-;\-&quot;R$&quot;\ * #,##0.00_-;_-&quot;R$&quot;\ * &quot;-&quot;??_-;_-@_-"/>
    <numFmt numFmtId="164" formatCode="_-&quot;R$&quot;* #,##0.00_-;\-&quot;R$&quot;* #,##0.00_-;_-&quot;R$&quot;* &quot;-&quot;??_-;_-@_-"/>
    <numFmt numFmtId="165" formatCode="_-[$$-409]* #,##0.00_ ;_-[$$-409]* \-#,##0.00\ ;_-[$$-409]* &quot;-&quot;??_ ;_-@_ "/>
    <numFmt numFmtId="166" formatCode="_-[$R$-416]\ * #,##0.00_-;\-[$R$-416]\ * #,##0.00_-;_-[$R$-416]\ * &quot;-&quot;??_-;_-@_-"/>
    <numFmt numFmtId="167" formatCode="&quot;R$&quot;\ #,##0.00"/>
    <numFmt numFmtId="168" formatCode="00000"/>
    <numFmt numFmtId="169" formatCode="00000\-000"/>
    <numFmt numFmtId="170" formatCode="&quot;(&quot;00&quot;) &quot;00000&quot;-&quot;0000"/>
    <numFmt numFmtId="171" formatCode="0.0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9" tint="-0.499984740745262"/>
      <name val="Calibri"/>
      <family val="2"/>
      <scheme val="minor"/>
    </font>
    <font>
      <b/>
      <sz val="11"/>
      <color theme="1" tint="0.1499984740745262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color indexed="8"/>
      <name val="Calibri"/>
      <family val="2"/>
    </font>
    <font>
      <b/>
      <sz val="12"/>
      <color indexed="8"/>
      <name val="Calibri"/>
      <family val="2"/>
    </font>
    <font>
      <b/>
      <sz val="14"/>
      <color indexed="8"/>
      <name val="Calibri"/>
      <family val="2"/>
    </font>
    <font>
      <sz val="18"/>
      <color theme="1"/>
      <name val="Cambria"/>
      <family val="1"/>
    </font>
    <font>
      <b/>
      <sz val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theme="8" tint="0.7999816888943144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</borders>
  <cellStyleXfs count="15">
    <xf numFmtId="0" fontId="0" fillId="0" borderId="0"/>
    <xf numFmtId="44" fontId="1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8" fillId="7" borderId="0" applyNumberFormat="0" applyBorder="0" applyAlignment="0" applyProtection="0"/>
    <xf numFmtId="0" fontId="1" fillId="8" borderId="0" applyNumberFormat="0" applyBorder="0" applyAlignment="0" applyProtection="0"/>
    <xf numFmtId="44" fontId="5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5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7">
    <xf numFmtId="0" fontId="0" fillId="0" borderId="0" xfId="0"/>
    <xf numFmtId="0" fontId="2" fillId="2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4" borderId="0" xfId="0" applyFont="1" applyFill="1" applyAlignment="1">
      <alignment horizontal="center"/>
    </xf>
    <xf numFmtId="44" fontId="0" fillId="0" borderId="1" xfId="1" applyFont="1" applyBorder="1"/>
    <xf numFmtId="164" fontId="0" fillId="0" borderId="1" xfId="0" applyNumberFormat="1" applyBorder="1"/>
    <xf numFmtId="0" fontId="5" fillId="0" borderId="8" xfId="0" applyFont="1" applyBorder="1"/>
    <xf numFmtId="2" fontId="5" fillId="0" borderId="9" xfId="0" applyNumberFormat="1" applyFont="1" applyBorder="1" applyAlignment="1">
      <alignment horizontal="right"/>
    </xf>
    <xf numFmtId="0" fontId="4" fillId="0" borderId="10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5" fillId="0" borderId="11" xfId="0" applyFont="1" applyBorder="1"/>
    <xf numFmtId="165" fontId="5" fillId="0" borderId="12" xfId="0" applyNumberFormat="1" applyFont="1" applyBorder="1"/>
    <xf numFmtId="44" fontId="5" fillId="0" borderId="12" xfId="1" applyFont="1" applyBorder="1"/>
    <xf numFmtId="0" fontId="5" fillId="0" borderId="12" xfId="0" applyFont="1" applyBorder="1" applyAlignment="1">
      <alignment horizontal="center"/>
    </xf>
    <xf numFmtId="44" fontId="5" fillId="0" borderId="12" xfId="0" applyNumberFormat="1" applyFont="1" applyBorder="1"/>
    <xf numFmtId="0" fontId="2" fillId="0" borderId="0" xfId="0" applyFont="1"/>
    <xf numFmtId="21" fontId="6" fillId="0" borderId="0" xfId="0" applyNumberFormat="1" applyFont="1" applyAlignment="1">
      <alignment horizontal="center"/>
    </xf>
    <xf numFmtId="0" fontId="2" fillId="6" borderId="0" xfId="0" applyFont="1" applyFill="1" applyAlignment="1">
      <alignment horizontal="center"/>
    </xf>
    <xf numFmtId="14" fontId="6" fillId="0" borderId="0" xfId="0" applyNumberFormat="1" applyFont="1"/>
    <xf numFmtId="0" fontId="7" fillId="0" borderId="0" xfId="0" applyFont="1"/>
    <xf numFmtId="166" fontId="1" fillId="0" borderId="1" xfId="3" applyNumberFormat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5" fillId="0" borderId="1" xfId="0" applyFont="1" applyBorder="1"/>
    <xf numFmtId="0" fontId="0" fillId="0" borderId="13" xfId="0" applyBorder="1"/>
    <xf numFmtId="0" fontId="0" fillId="0" borderId="14" xfId="0" applyBorder="1"/>
    <xf numFmtId="0" fontId="0" fillId="0" borderId="9" xfId="0" applyBorder="1"/>
    <xf numFmtId="0" fontId="0" fillId="0" borderId="15" xfId="0" applyBorder="1"/>
    <xf numFmtId="0" fontId="0" fillId="0" borderId="16" xfId="0" applyBorder="1"/>
    <xf numFmtId="0" fontId="0" fillId="0" borderId="1" xfId="0" applyBorder="1" applyAlignment="1">
      <alignment horizontal="right"/>
    </xf>
    <xf numFmtId="0" fontId="0" fillId="2" borderId="1" xfId="0" applyFill="1" applyBorder="1" applyAlignment="1">
      <alignment horizontal="center"/>
    </xf>
    <xf numFmtId="14" fontId="0" fillId="2" borderId="0" xfId="0" applyNumberFormat="1" applyFill="1"/>
    <xf numFmtId="0" fontId="0" fillId="0" borderId="0" xfId="0" applyAlignment="1">
      <alignment horizontal="center"/>
    </xf>
    <xf numFmtId="0" fontId="0" fillId="2" borderId="0" xfId="0" applyFill="1"/>
    <xf numFmtId="0" fontId="10" fillId="0" borderId="0" xfId="0" applyFont="1"/>
    <xf numFmtId="0" fontId="11" fillId="0" borderId="1" xfId="0" applyFont="1" applyBorder="1"/>
    <xf numFmtId="0" fontId="10" fillId="0" borderId="1" xfId="0" applyFont="1" applyBorder="1"/>
    <xf numFmtId="44" fontId="10" fillId="0" borderId="1" xfId="8" applyFont="1" applyBorder="1"/>
    <xf numFmtId="0" fontId="10" fillId="0" borderId="1" xfId="0" applyFont="1" applyBorder="1" applyAlignment="1">
      <alignment horizontal="center"/>
    </xf>
    <xf numFmtId="0" fontId="10" fillId="0" borderId="0" xfId="0" applyFont="1" applyAlignment="1">
      <alignment horizontal="center"/>
    </xf>
    <xf numFmtId="44" fontId="10" fillId="0" borderId="0" xfId="8" applyFont="1" applyBorder="1"/>
    <xf numFmtId="0" fontId="8" fillId="7" borderId="1" xfId="6" applyBorder="1"/>
    <xf numFmtId="168" fontId="1" fillId="8" borderId="1" xfId="7" applyNumberFormat="1" applyBorder="1" applyAlignment="1">
      <alignment horizontal="center"/>
    </xf>
    <xf numFmtId="49" fontId="0" fillId="8" borderId="1" xfId="7" applyNumberFormat="1" applyFont="1" applyBorder="1"/>
    <xf numFmtId="49" fontId="1" fillId="8" borderId="1" xfId="7" applyNumberFormat="1" applyBorder="1"/>
    <xf numFmtId="169" fontId="1" fillId="8" borderId="1" xfId="7" applyNumberFormat="1" applyBorder="1"/>
    <xf numFmtId="170" fontId="1" fillId="8" borderId="1" xfId="7" applyNumberFormat="1" applyBorder="1"/>
    <xf numFmtId="0" fontId="13" fillId="0" borderId="19" xfId="0" applyFont="1" applyBorder="1"/>
    <xf numFmtId="0" fontId="4" fillId="0" borderId="1" xfId="0" applyFont="1" applyBorder="1"/>
    <xf numFmtId="167" fontId="0" fillId="0" borderId="22" xfId="0" applyNumberFormat="1" applyBorder="1"/>
    <xf numFmtId="0" fontId="2" fillId="0" borderId="22" xfId="0" applyFont="1" applyBorder="1"/>
    <xf numFmtId="0" fontId="0" fillId="0" borderId="22" xfId="0" applyBorder="1"/>
    <xf numFmtId="167" fontId="0" fillId="0" borderId="0" xfId="0" applyNumberFormat="1"/>
    <xf numFmtId="167" fontId="0" fillId="0" borderId="0" xfId="12" applyNumberFormat="1" applyFont="1"/>
    <xf numFmtId="0" fontId="0" fillId="10" borderId="0" xfId="0" applyFill="1"/>
    <xf numFmtId="9" fontId="0" fillId="10" borderId="0" xfId="0" applyNumberFormat="1" applyFill="1"/>
    <xf numFmtId="9" fontId="0" fillId="0" borderId="1" xfId="0" applyNumberFormat="1" applyBorder="1"/>
    <xf numFmtId="44" fontId="1" fillId="0" borderId="1" xfId="2" applyFont="1" applyBorder="1"/>
    <xf numFmtId="44" fontId="0" fillId="0" borderId="1" xfId="0" applyNumberFormat="1" applyBorder="1"/>
    <xf numFmtId="171" fontId="0" fillId="0" borderId="0" xfId="0" applyNumberFormat="1" applyAlignment="1">
      <alignment horizontal="center"/>
    </xf>
    <xf numFmtId="0" fontId="0" fillId="10" borderId="1" xfId="0" applyFill="1" applyBorder="1" applyAlignment="1">
      <alignment horizontal="center"/>
    </xf>
    <xf numFmtId="171" fontId="0" fillId="0" borderId="1" xfId="0" applyNumberFormat="1" applyBorder="1" applyAlignment="1">
      <alignment horizontal="center"/>
    </xf>
    <xf numFmtId="0" fontId="16" fillId="0" borderId="26" xfId="0" applyFont="1" applyBorder="1" applyAlignment="1">
      <alignment horizontal="justify" vertical="center" wrapText="1"/>
    </xf>
    <xf numFmtId="0" fontId="15" fillId="0" borderId="26" xfId="0" applyFont="1" applyBorder="1" applyAlignment="1">
      <alignment horizontal="justify" vertical="center" wrapText="1"/>
    </xf>
    <xf numFmtId="0" fontId="0" fillId="0" borderId="26" xfId="0" applyBorder="1" applyAlignment="1">
      <alignment vertical="top" wrapText="1"/>
    </xf>
    <xf numFmtId="0" fontId="0" fillId="0" borderId="26" xfId="0" applyBorder="1" applyAlignment="1">
      <alignment horizontal="center" vertical="top" wrapText="1"/>
    </xf>
    <xf numFmtId="0" fontId="16" fillId="0" borderId="26" xfId="0" applyFont="1" applyBorder="1" applyAlignment="1">
      <alignment horizontal="center" vertical="center" wrapText="1"/>
    </xf>
    <xf numFmtId="0" fontId="15" fillId="0" borderId="26" xfId="0" applyFont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/>
    </xf>
    <xf numFmtId="0" fontId="14" fillId="0" borderId="0" xfId="0" applyFont="1"/>
    <xf numFmtId="0" fontId="14" fillId="0" borderId="10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27" xfId="0" applyFont="1" applyFill="1" applyBorder="1" applyAlignment="1">
      <alignment horizontal="center"/>
    </xf>
    <xf numFmtId="0" fontId="2" fillId="2" borderId="28" xfId="0" applyFont="1" applyFill="1" applyBorder="1" applyAlignment="1">
      <alignment horizontal="center"/>
    </xf>
    <xf numFmtId="0" fontId="13" fillId="0" borderId="19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0" fillId="0" borderId="1" xfId="0" applyBorder="1" applyAlignment="1">
      <alignment horizontal="right"/>
    </xf>
    <xf numFmtId="0" fontId="4" fillId="5" borderId="5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/>
    </xf>
    <xf numFmtId="0" fontId="0" fillId="0" borderId="17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2" xfId="0" applyBorder="1" applyAlignment="1">
      <alignment horizontal="left"/>
    </xf>
    <xf numFmtId="0" fontId="12" fillId="2" borderId="2" xfId="0" applyFont="1" applyFill="1" applyBorder="1" applyAlignment="1">
      <alignment horizontal="center"/>
    </xf>
    <xf numFmtId="0" fontId="12" fillId="2" borderId="3" xfId="0" applyFont="1" applyFill="1" applyBorder="1" applyAlignment="1">
      <alignment horizontal="center"/>
    </xf>
    <xf numFmtId="0" fontId="12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10" borderId="0" xfId="0" applyFont="1" applyFill="1" applyAlignment="1">
      <alignment horizontal="center"/>
    </xf>
    <xf numFmtId="0" fontId="0" fillId="9" borderId="23" xfId="0" applyFill="1" applyBorder="1" applyAlignment="1">
      <alignment horizontal="left"/>
    </xf>
    <xf numFmtId="0" fontId="0" fillId="9" borderId="24" xfId="0" applyFill="1" applyBorder="1" applyAlignment="1">
      <alignment horizontal="left"/>
    </xf>
    <xf numFmtId="0" fontId="0" fillId="9" borderId="25" xfId="0" applyFill="1" applyBorder="1" applyAlignment="1">
      <alignment horizontal="left"/>
    </xf>
    <xf numFmtId="0" fontId="0" fillId="9" borderId="20" xfId="0" applyFill="1" applyBorder="1" applyAlignment="1">
      <alignment horizontal="left"/>
    </xf>
    <xf numFmtId="0" fontId="0" fillId="9" borderId="19" xfId="0" applyFill="1" applyBorder="1" applyAlignment="1">
      <alignment horizontal="left"/>
    </xf>
    <xf numFmtId="0" fontId="0" fillId="9" borderId="21" xfId="0" applyFill="1" applyBorder="1" applyAlignment="1">
      <alignment horizontal="left"/>
    </xf>
    <xf numFmtId="171" fontId="0" fillId="0" borderId="0" xfId="0" applyNumberFormat="1"/>
    <xf numFmtId="9" fontId="0" fillId="0" borderId="0" xfId="14" applyFont="1" applyAlignment="1">
      <alignment horizontal="center"/>
    </xf>
    <xf numFmtId="9" fontId="0" fillId="0" borderId="0" xfId="14" applyFont="1"/>
  </cellXfs>
  <cellStyles count="15">
    <cellStyle name="20% - Ênfase1" xfId="7" builtinId="30"/>
    <cellStyle name="Ênfase1" xfId="6" builtinId="29"/>
    <cellStyle name="Moeda" xfId="1" builtinId="4"/>
    <cellStyle name="Moeda [0] 2" xfId="3" xr:uid="{16D30FDF-DE5E-4309-8666-173E07E8E744}"/>
    <cellStyle name="Moeda [0] 3" xfId="10" xr:uid="{B0A7C138-4E7D-4F9B-99E4-8399AA386AAA}"/>
    <cellStyle name="Moeda 2" xfId="2" xr:uid="{6A51A567-CF6C-40EC-938C-522DECC25065}"/>
    <cellStyle name="Moeda 2 2" xfId="12" xr:uid="{211607E8-7AE9-470F-AA26-EDBD55A3BB5E}"/>
    <cellStyle name="Moeda 3" xfId="4" xr:uid="{34E85822-DFEA-423B-943C-CAAF6EEC5B0F}"/>
    <cellStyle name="Moeda 4" xfId="9" xr:uid="{F67AF73C-4F94-45F3-85ED-D01BB4C5EABE}"/>
    <cellStyle name="Moeda 5" xfId="8" xr:uid="{4726BF94-355B-4FB7-9166-840B3535EC1B}"/>
    <cellStyle name="Moeda 6" xfId="11" xr:uid="{0B860992-D63E-4BD5-9810-DA6089CAD487}"/>
    <cellStyle name="Moeda 7" xfId="13" xr:uid="{1804D6A7-FEF2-49FF-A7F2-06A369D30633}"/>
    <cellStyle name="Normal" xfId="0" builtinId="0"/>
    <cellStyle name="Porcentagem" xfId="14" builtinId="5"/>
    <cellStyle name="Porcentagem 2" xfId="5" xr:uid="{CAEDED2E-B09B-4366-B3BF-41F6F22C46E2}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funcionario1@empresa.com.br" TargetMode="External"/><Relationship Id="rId1" Type="http://schemas.openxmlformats.org/officeDocument/2006/relationships/hyperlink" Target="mailto:funcionario1@empresa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968B3-2CF1-4E29-91B6-5E98364D5A6C}">
  <sheetPr>
    <tabColor theme="7" tint="-0.249977111117893"/>
  </sheetPr>
  <dimension ref="B1:Y41"/>
  <sheetViews>
    <sheetView topLeftCell="A4" workbookViewId="0">
      <selection activeCell="N25" sqref="N25"/>
    </sheetView>
  </sheetViews>
  <sheetFormatPr defaultRowHeight="14.4" x14ac:dyDescent="0.3"/>
  <cols>
    <col min="2" max="2" width="19.5546875" bestFit="1" customWidth="1"/>
    <col min="3" max="3" width="38.33203125" bestFit="1" customWidth="1"/>
    <col min="4" max="4" width="11.5546875" bestFit="1" customWidth="1"/>
    <col min="5" max="5" width="35.44140625" bestFit="1" customWidth="1"/>
    <col min="6" max="6" width="10.6640625" bestFit="1" customWidth="1"/>
    <col min="8" max="8" width="9.88671875" bestFit="1" customWidth="1"/>
    <col min="9" max="9" width="13.33203125" customWidth="1"/>
    <col min="10" max="10" width="12.44140625" bestFit="1" customWidth="1"/>
    <col min="12" max="13" width="10.109375" bestFit="1" customWidth="1"/>
    <col min="14" max="14" width="13.5546875" bestFit="1" customWidth="1"/>
    <col min="15" max="15" width="10.5546875" bestFit="1" customWidth="1"/>
    <col min="16" max="17" width="11.88671875" bestFit="1" customWidth="1"/>
    <col min="18" max="18" width="10.6640625" bestFit="1" customWidth="1"/>
    <col min="19" max="19" width="7.44140625" bestFit="1" customWidth="1"/>
    <col min="20" max="20" width="9" bestFit="1" customWidth="1"/>
    <col min="21" max="21" width="13.5546875" bestFit="1" customWidth="1"/>
    <col min="22" max="22" width="10.5546875" bestFit="1" customWidth="1"/>
    <col min="23" max="23" width="11.88671875" bestFit="1" customWidth="1"/>
  </cols>
  <sheetData>
    <row r="1" spans="2:25" x14ac:dyDescent="0.3">
      <c r="B1" s="78" t="s">
        <v>140</v>
      </c>
      <c r="C1" s="78"/>
      <c r="D1" s="78"/>
      <c r="E1" s="78"/>
    </row>
    <row r="2" spans="2:25" x14ac:dyDescent="0.3">
      <c r="B2" s="1" t="s">
        <v>0</v>
      </c>
      <c r="C2" s="1" t="s">
        <v>1</v>
      </c>
      <c r="D2" s="1" t="s">
        <v>2</v>
      </c>
      <c r="E2" s="1" t="s">
        <v>138</v>
      </c>
      <c r="G2" s="75" t="s">
        <v>24</v>
      </c>
      <c r="H2" s="76"/>
      <c r="I2" s="76"/>
      <c r="J2" s="77"/>
      <c r="L2" s="79" t="s">
        <v>141</v>
      </c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</row>
    <row r="3" spans="2:25" x14ac:dyDescent="0.3">
      <c r="B3" s="2" t="s">
        <v>3</v>
      </c>
      <c r="C3" s="3" t="s">
        <v>4</v>
      </c>
      <c r="D3" s="3">
        <f>5+3</f>
        <v>8</v>
      </c>
      <c r="E3" s="3">
        <f>G4+H4</f>
        <v>13</v>
      </c>
      <c r="G3" s="4" t="s">
        <v>25</v>
      </c>
      <c r="H3" s="4" t="s">
        <v>26</v>
      </c>
      <c r="I3" s="4" t="s">
        <v>27</v>
      </c>
      <c r="J3" s="4" t="s">
        <v>28</v>
      </c>
      <c r="L3" s="2" t="s">
        <v>66</v>
      </c>
      <c r="M3" s="2" t="s">
        <v>67</v>
      </c>
      <c r="N3" s="2" t="s">
        <v>68</v>
      </c>
      <c r="O3" s="2" t="s">
        <v>69</v>
      </c>
      <c r="P3" s="2" t="s">
        <v>70</v>
      </c>
      <c r="Q3" s="2" t="s">
        <v>71</v>
      </c>
      <c r="R3" s="2" t="s">
        <v>72</v>
      </c>
      <c r="S3" s="2" t="s">
        <v>73</v>
      </c>
      <c r="T3" s="2" t="s">
        <v>74</v>
      </c>
      <c r="U3" s="2" t="s">
        <v>68</v>
      </c>
      <c r="V3" s="2" t="s">
        <v>69</v>
      </c>
      <c r="W3" s="2" t="s">
        <v>70</v>
      </c>
      <c r="X3" s="2"/>
      <c r="Y3" s="2"/>
    </row>
    <row r="4" spans="2:25" x14ac:dyDescent="0.3">
      <c r="B4" s="2" t="s">
        <v>5</v>
      </c>
      <c r="C4" s="3" t="s">
        <v>6</v>
      </c>
      <c r="D4" s="3">
        <f>6-3</f>
        <v>3</v>
      </c>
      <c r="E4" s="3">
        <f>G4-H4</f>
        <v>5</v>
      </c>
      <c r="G4" s="5">
        <v>9</v>
      </c>
      <c r="H4" s="5">
        <v>4</v>
      </c>
      <c r="I4" s="5"/>
      <c r="J4" s="5"/>
      <c r="L4" s="2">
        <v>1</v>
      </c>
      <c r="M4" s="2">
        <v>1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2:25" x14ac:dyDescent="0.3">
      <c r="B5" s="2" t="s">
        <v>7</v>
      </c>
      <c r="C5" s="3" t="s">
        <v>8</v>
      </c>
      <c r="D5" s="3">
        <f>4*4</f>
        <v>16</v>
      </c>
      <c r="E5" s="3">
        <f>G5*H5</f>
        <v>24</v>
      </c>
      <c r="G5" s="5">
        <v>6</v>
      </c>
      <c r="H5" s="5">
        <v>4</v>
      </c>
      <c r="I5" s="5"/>
      <c r="J5" s="5"/>
      <c r="L5" s="2">
        <v>1</v>
      </c>
      <c r="M5" s="2">
        <v>2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2:25" x14ac:dyDescent="0.3">
      <c r="B6" s="2" t="s">
        <v>9</v>
      </c>
      <c r="C6" s="3" t="s">
        <v>10</v>
      </c>
      <c r="D6" s="3">
        <f>8/2</f>
        <v>4</v>
      </c>
      <c r="E6" s="3">
        <f>G6/H6</f>
        <v>0.8</v>
      </c>
      <c r="G6" s="5">
        <v>4</v>
      </c>
      <c r="H6" s="5">
        <v>5</v>
      </c>
      <c r="I6" s="5"/>
      <c r="J6" s="5"/>
      <c r="L6" s="2">
        <v>1</v>
      </c>
      <c r="M6" s="2">
        <v>3</v>
      </c>
      <c r="N6" s="2" t="s">
        <v>75</v>
      </c>
      <c r="O6" s="2" t="s">
        <v>76</v>
      </c>
      <c r="P6" s="2" t="s">
        <v>77</v>
      </c>
      <c r="Q6" s="2" t="s">
        <v>78</v>
      </c>
      <c r="R6" s="2" t="s">
        <v>79</v>
      </c>
      <c r="S6" s="2" t="s">
        <v>80</v>
      </c>
      <c r="T6" s="2" t="s">
        <v>81</v>
      </c>
      <c r="U6" s="2" t="s">
        <v>82</v>
      </c>
      <c r="V6" s="2" t="s">
        <v>83</v>
      </c>
      <c r="W6" s="2" t="s">
        <v>84</v>
      </c>
      <c r="X6" s="2" t="s">
        <v>85</v>
      </c>
      <c r="Y6" s="2" t="s">
        <v>86</v>
      </c>
    </row>
    <row r="7" spans="2:25" x14ac:dyDescent="0.3">
      <c r="B7" s="2" t="s">
        <v>11</v>
      </c>
      <c r="C7" s="3" t="s">
        <v>12</v>
      </c>
      <c r="D7" s="3">
        <f>2+2/4</f>
        <v>2.5</v>
      </c>
      <c r="E7" s="3">
        <f>G8+H8/I8</f>
        <v>1.25</v>
      </c>
      <c r="G7" s="5">
        <v>8</v>
      </c>
      <c r="H7" s="5">
        <v>2</v>
      </c>
      <c r="I7" s="5"/>
      <c r="J7" s="5"/>
      <c r="L7" s="2">
        <v>1</v>
      </c>
      <c r="M7" s="2">
        <v>4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2:25" x14ac:dyDescent="0.3">
      <c r="B8" s="2" t="s">
        <v>11</v>
      </c>
      <c r="C8" s="3" t="s">
        <v>13</v>
      </c>
      <c r="D8" s="3">
        <f>(2+2)/4</f>
        <v>1</v>
      </c>
      <c r="E8" s="3">
        <f>(G8+H8)/I8</f>
        <v>0.5</v>
      </c>
      <c r="G8" s="5">
        <v>1</v>
      </c>
      <c r="H8" s="5">
        <v>1</v>
      </c>
      <c r="I8" s="5">
        <v>4</v>
      </c>
      <c r="J8" s="5"/>
      <c r="L8" s="2">
        <v>1</v>
      </c>
      <c r="M8" s="2">
        <v>5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2:25" x14ac:dyDescent="0.3">
      <c r="B9" s="2" t="s">
        <v>14</v>
      </c>
      <c r="C9" s="3" t="s">
        <v>15</v>
      </c>
      <c r="D9" s="3">
        <f>1+2+3+4</f>
        <v>10</v>
      </c>
      <c r="E9" s="3">
        <f>G9+H9+I9+J9</f>
        <v>6</v>
      </c>
      <c r="G9" s="5">
        <v>1</v>
      </c>
      <c r="H9" s="5">
        <v>1</v>
      </c>
      <c r="I9" s="5">
        <v>4</v>
      </c>
      <c r="J9" s="5"/>
      <c r="L9" s="2">
        <v>1</v>
      </c>
      <c r="M9" s="2">
        <v>6</v>
      </c>
      <c r="N9" s="2">
        <v>2019</v>
      </c>
      <c r="O9" s="2">
        <v>2020</v>
      </c>
      <c r="P9" s="2">
        <v>2021</v>
      </c>
      <c r="Q9" s="2">
        <v>2022</v>
      </c>
      <c r="R9" s="2">
        <v>2023</v>
      </c>
      <c r="S9" s="2">
        <v>2024</v>
      </c>
      <c r="T9" s="2">
        <v>2025</v>
      </c>
      <c r="U9" s="2">
        <v>2026</v>
      </c>
      <c r="V9" s="2">
        <v>2027</v>
      </c>
      <c r="W9" s="2">
        <v>2028</v>
      </c>
      <c r="X9" s="2"/>
      <c r="Y9" s="2"/>
    </row>
    <row r="10" spans="2:25" x14ac:dyDescent="0.3">
      <c r="B10" s="2" t="s">
        <v>14</v>
      </c>
      <c r="C10" s="3" t="s">
        <v>16</v>
      </c>
      <c r="D10" s="3"/>
      <c r="E10" s="3">
        <f>SUM(G10:J10)</f>
        <v>10</v>
      </c>
      <c r="G10" s="5">
        <v>1</v>
      </c>
      <c r="H10" s="5">
        <v>2</v>
      </c>
      <c r="I10" s="5">
        <v>3</v>
      </c>
      <c r="J10" s="5">
        <v>4</v>
      </c>
      <c r="L10" s="2">
        <v>1</v>
      </c>
      <c r="M10" s="2">
        <v>7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2:25" x14ac:dyDescent="0.3">
      <c r="B11" s="2" t="s">
        <v>17</v>
      </c>
      <c r="C11" s="3" t="s">
        <v>18</v>
      </c>
      <c r="D11" s="3"/>
      <c r="E11" s="3">
        <f>(SUM(G11:J11))/4</f>
        <v>2.5</v>
      </c>
      <c r="G11" s="5">
        <v>1</v>
      </c>
      <c r="H11" s="5">
        <v>2</v>
      </c>
      <c r="I11" s="5">
        <v>3</v>
      </c>
      <c r="J11" s="5">
        <v>4</v>
      </c>
      <c r="L11" s="2">
        <v>1</v>
      </c>
      <c r="M11" s="2">
        <v>8</v>
      </c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2:25" x14ac:dyDescent="0.3">
      <c r="B12" s="2" t="s">
        <v>17</v>
      </c>
      <c r="C12" s="3" t="s">
        <v>19</v>
      </c>
      <c r="D12" s="3"/>
      <c r="E12" s="3">
        <f>AVERAGE(G12:J12)</f>
        <v>7.5</v>
      </c>
      <c r="G12" s="5">
        <v>7</v>
      </c>
      <c r="H12" s="5">
        <v>8</v>
      </c>
      <c r="I12" s="5">
        <v>8</v>
      </c>
      <c r="J12" s="5">
        <v>7</v>
      </c>
      <c r="L12" s="2">
        <v>1</v>
      </c>
      <c r="M12" s="2">
        <v>9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2:25" x14ac:dyDescent="0.3">
      <c r="B13" s="2" t="s">
        <v>20</v>
      </c>
      <c r="C13" s="3" t="s">
        <v>21</v>
      </c>
      <c r="D13" s="3" t="str">
        <f>"Texto "&amp;"Texto"</f>
        <v>Texto Texto</v>
      </c>
      <c r="E13" s="3" t="str">
        <f>G14&amp;H14</f>
        <v>Nome: Maria</v>
      </c>
      <c r="G13" s="5">
        <v>7</v>
      </c>
      <c r="H13" s="5">
        <v>8</v>
      </c>
      <c r="I13" s="5">
        <v>8</v>
      </c>
      <c r="J13" s="5">
        <v>4</v>
      </c>
      <c r="L13" s="2">
        <v>1</v>
      </c>
      <c r="M13" s="2">
        <v>10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2:25" x14ac:dyDescent="0.3">
      <c r="B14" s="2" t="s">
        <v>20</v>
      </c>
      <c r="C14" s="3" t="s">
        <v>22</v>
      </c>
      <c r="D14" s="3"/>
      <c r="E14" s="3" t="str">
        <f>G15&amp;H15&amp;I15&amp;J15&amp;" | "&amp;E15</f>
        <v>Nome: João | Média: 7,5 | APROVADO</v>
      </c>
      <c r="G14" s="5" t="s">
        <v>29</v>
      </c>
      <c r="H14" s="5" t="s">
        <v>30</v>
      </c>
      <c r="I14" s="5"/>
      <c r="J14" s="5"/>
      <c r="L14" s="2">
        <v>1</v>
      </c>
      <c r="M14" s="2">
        <v>11</v>
      </c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2:25" x14ac:dyDescent="0.3">
      <c r="B15" s="2" t="s">
        <v>23</v>
      </c>
      <c r="C15" s="3" t="s">
        <v>33</v>
      </c>
      <c r="D15" s="3"/>
      <c r="E15" s="3" t="str">
        <f>IF(J15&gt;=7,"APROVADO","REPROVADO")</f>
        <v>APROVADO</v>
      </c>
      <c r="G15" s="5" t="s">
        <v>29</v>
      </c>
      <c r="H15" s="5" t="s">
        <v>31</v>
      </c>
      <c r="I15" s="5" t="s">
        <v>32</v>
      </c>
      <c r="J15" s="5">
        <f>E12</f>
        <v>7.5</v>
      </c>
      <c r="L15" s="2">
        <v>1</v>
      </c>
      <c r="M15" s="2">
        <v>12</v>
      </c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7" spans="2:15" ht="15" thickBot="1" x14ac:dyDescent="0.35">
      <c r="B17" s="34" t="s">
        <v>87</v>
      </c>
      <c r="C17" s="3" t="s">
        <v>88</v>
      </c>
      <c r="D17" s="3" t="s">
        <v>89</v>
      </c>
      <c r="E17" s="34" t="s">
        <v>87</v>
      </c>
      <c r="F17" s="3" t="s">
        <v>90</v>
      </c>
      <c r="G17" s="3" t="s">
        <v>89</v>
      </c>
      <c r="I17" s="79" t="s">
        <v>146</v>
      </c>
      <c r="J17" s="79"/>
      <c r="K17" s="79"/>
      <c r="M17" s="81" t="s">
        <v>336</v>
      </c>
      <c r="N17" s="82"/>
    </row>
    <row r="18" spans="2:15" ht="15" thickBot="1" x14ac:dyDescent="0.35">
      <c r="B18" s="3">
        <v>3</v>
      </c>
      <c r="C18" s="3">
        <v>1</v>
      </c>
      <c r="D18" s="3">
        <f>B18*C18</f>
        <v>3</v>
      </c>
      <c r="E18" s="3">
        <v>2</v>
      </c>
      <c r="F18" s="3">
        <v>1</v>
      </c>
      <c r="G18" s="3">
        <f t="shared" ref="G18:G27" si="0">E$18*F18</f>
        <v>2</v>
      </c>
      <c r="I18" s="3">
        <v>5</v>
      </c>
      <c r="J18" s="3" t="s">
        <v>142</v>
      </c>
      <c r="K18" s="3">
        <f>LARGE(I18:I21,1)</f>
        <v>6</v>
      </c>
      <c r="M18" s="67" t="s">
        <v>329</v>
      </c>
      <c r="N18" s="67" t="s">
        <v>330</v>
      </c>
    </row>
    <row r="19" spans="2:15" ht="15" thickBot="1" x14ac:dyDescent="0.35">
      <c r="B19" s="3">
        <v>3</v>
      </c>
      <c r="C19" s="3">
        <v>2</v>
      </c>
      <c r="D19" s="3">
        <f t="shared" ref="D19:D26" si="1">B19*C19</f>
        <v>6</v>
      </c>
      <c r="E19" s="3"/>
      <c r="F19" s="3">
        <v>2</v>
      </c>
      <c r="G19" s="3">
        <f t="shared" si="0"/>
        <v>4</v>
      </c>
      <c r="I19" s="3">
        <v>6</v>
      </c>
      <c r="J19" s="3" t="s">
        <v>143</v>
      </c>
      <c r="K19" s="3">
        <f>LARGE(I18:I21,2)</f>
        <v>5</v>
      </c>
      <c r="M19" s="66" t="s">
        <v>331</v>
      </c>
      <c r="N19" s="69"/>
    </row>
    <row r="20" spans="2:15" ht="15" thickBot="1" x14ac:dyDescent="0.35">
      <c r="B20" s="3">
        <v>3</v>
      </c>
      <c r="C20" s="3">
        <v>3</v>
      </c>
      <c r="D20" s="3">
        <f t="shared" si="1"/>
        <v>9</v>
      </c>
      <c r="E20" s="3"/>
      <c r="F20" s="3">
        <v>3</v>
      </c>
      <c r="G20" s="3">
        <f t="shared" si="0"/>
        <v>6</v>
      </c>
      <c r="I20" s="3">
        <v>4</v>
      </c>
      <c r="J20" s="3" t="s">
        <v>144</v>
      </c>
      <c r="K20" s="3"/>
      <c r="M20" s="66" t="s">
        <v>332</v>
      </c>
      <c r="N20" s="70">
        <v>10</v>
      </c>
    </row>
    <row r="21" spans="2:15" ht="15" thickBot="1" x14ac:dyDescent="0.35">
      <c r="B21" s="3">
        <v>3</v>
      </c>
      <c r="C21" s="3">
        <v>4</v>
      </c>
      <c r="D21" s="3">
        <f t="shared" si="1"/>
        <v>12</v>
      </c>
      <c r="E21" t="s">
        <v>320</v>
      </c>
      <c r="F21" s="3">
        <v>4</v>
      </c>
      <c r="G21" s="3">
        <f t="shared" si="0"/>
        <v>8</v>
      </c>
      <c r="I21" s="3">
        <v>3</v>
      </c>
      <c r="J21" s="3" t="s">
        <v>145</v>
      </c>
      <c r="K21" s="3"/>
      <c r="M21" s="66" t="s">
        <v>333</v>
      </c>
      <c r="N21" s="69"/>
    </row>
    <row r="22" spans="2:15" ht="15" thickBot="1" x14ac:dyDescent="0.35">
      <c r="B22" s="3">
        <v>3</v>
      </c>
      <c r="C22" s="3">
        <v>5</v>
      </c>
      <c r="D22" s="3">
        <f t="shared" si="1"/>
        <v>15</v>
      </c>
      <c r="E22" s="3"/>
      <c r="F22" s="3">
        <v>5</v>
      </c>
      <c r="G22" s="3">
        <f t="shared" si="0"/>
        <v>10</v>
      </c>
      <c r="M22" s="66" t="s">
        <v>334</v>
      </c>
      <c r="N22" s="70">
        <v>8</v>
      </c>
    </row>
    <row r="23" spans="2:15" ht="15" thickBot="1" x14ac:dyDescent="0.35">
      <c r="B23" s="3">
        <v>3</v>
      </c>
      <c r="C23" s="3">
        <v>6</v>
      </c>
      <c r="D23" s="3">
        <f t="shared" si="1"/>
        <v>18</v>
      </c>
      <c r="E23" s="3"/>
      <c r="F23" s="3">
        <v>6</v>
      </c>
      <c r="G23" s="3">
        <f t="shared" si="0"/>
        <v>12</v>
      </c>
      <c r="I23" s="79" t="s">
        <v>147</v>
      </c>
      <c r="J23" s="79"/>
      <c r="K23" s="79"/>
      <c r="M23" s="66" t="s">
        <v>299</v>
      </c>
      <c r="N23" s="70">
        <v>10</v>
      </c>
    </row>
    <row r="24" spans="2:15" ht="15" thickBot="1" x14ac:dyDescent="0.35">
      <c r="B24" s="3">
        <v>3</v>
      </c>
      <c r="C24" s="3">
        <v>7</v>
      </c>
      <c r="D24" s="3">
        <f t="shared" si="1"/>
        <v>21</v>
      </c>
      <c r="E24" s="3"/>
      <c r="F24" s="3">
        <v>7</v>
      </c>
      <c r="G24" s="3">
        <f t="shared" si="0"/>
        <v>14</v>
      </c>
      <c r="I24" s="3">
        <v>5</v>
      </c>
      <c r="J24" s="3" t="s">
        <v>148</v>
      </c>
      <c r="K24" s="3">
        <f>SMALL(I24:I27,1)</f>
        <v>3</v>
      </c>
      <c r="M24" s="66" t="s">
        <v>335</v>
      </c>
      <c r="N24" s="69"/>
    </row>
    <row r="25" spans="2:15" ht="15" thickBot="1" x14ac:dyDescent="0.35">
      <c r="B25" s="3">
        <v>3</v>
      </c>
      <c r="C25" s="3">
        <v>8</v>
      </c>
      <c r="D25" s="3">
        <f t="shared" si="1"/>
        <v>24</v>
      </c>
      <c r="E25" s="3"/>
      <c r="F25" s="3">
        <v>8</v>
      </c>
      <c r="G25" s="3">
        <f t="shared" si="0"/>
        <v>16</v>
      </c>
      <c r="I25" s="3">
        <v>6</v>
      </c>
      <c r="J25" s="3" t="s">
        <v>149</v>
      </c>
      <c r="K25" s="3">
        <f>SMALL(I24:I28,2)</f>
        <v>4</v>
      </c>
      <c r="M25" s="68"/>
      <c r="N25" s="71">
        <f>COUNTBLANK(B2:B7)</f>
        <v>0</v>
      </c>
    </row>
    <row r="26" spans="2:15" x14ac:dyDescent="0.3">
      <c r="B26" s="3">
        <v>3</v>
      </c>
      <c r="C26" s="3">
        <v>9</v>
      </c>
      <c r="D26" s="3">
        <f t="shared" si="1"/>
        <v>27</v>
      </c>
      <c r="E26" s="3"/>
      <c r="F26" s="3">
        <v>9</v>
      </c>
      <c r="G26" s="3">
        <f t="shared" si="0"/>
        <v>18</v>
      </c>
      <c r="I26" s="3">
        <v>4</v>
      </c>
      <c r="J26" s="3" t="s">
        <v>150</v>
      </c>
      <c r="K26" s="3"/>
    </row>
    <row r="27" spans="2:15" x14ac:dyDescent="0.3">
      <c r="B27" s="3">
        <v>3</v>
      </c>
      <c r="C27" s="3">
        <v>10</v>
      </c>
      <c r="D27" s="3">
        <f>B27*C27</f>
        <v>30</v>
      </c>
      <c r="E27" s="3"/>
      <c r="F27" s="3">
        <v>10</v>
      </c>
      <c r="G27" s="3">
        <f t="shared" si="0"/>
        <v>20</v>
      </c>
      <c r="I27" s="3">
        <v>3</v>
      </c>
      <c r="J27" s="3" t="s">
        <v>151</v>
      </c>
      <c r="K27" s="3"/>
      <c r="M27" s="72" t="s">
        <v>212</v>
      </c>
      <c r="N27" s="72" t="s">
        <v>337</v>
      </c>
    </row>
    <row r="28" spans="2:15" x14ac:dyDescent="0.3">
      <c r="M28" s="2" t="s">
        <v>322</v>
      </c>
      <c r="N28" s="2">
        <v>100</v>
      </c>
    </row>
    <row r="29" spans="2:15" ht="22.5" customHeight="1" x14ac:dyDescent="0.3">
      <c r="B29" s="80" t="s">
        <v>139</v>
      </c>
      <c r="C29" s="80"/>
      <c r="D29" s="80"/>
      <c r="E29" s="80"/>
      <c r="M29" s="2" t="s">
        <v>338</v>
      </c>
      <c r="N29" s="33">
        <v>350</v>
      </c>
      <c r="O29" t="s">
        <v>339</v>
      </c>
    </row>
    <row r="30" spans="2:15" ht="15" thickBot="1" x14ac:dyDescent="0.35">
      <c r="B30" s="35">
        <v>44726</v>
      </c>
      <c r="C30" s="35">
        <v>44925</v>
      </c>
      <c r="D30" s="37">
        <f>DAYS360(B30,C30)</f>
        <v>196</v>
      </c>
      <c r="E30" s="37">
        <f>DAYS360(C30,B30)</f>
        <v>-196</v>
      </c>
      <c r="M30" s="2" t="s">
        <v>340</v>
      </c>
      <c r="N30" s="2">
        <v>700</v>
      </c>
      <c r="O30" s="73" t="s">
        <v>341</v>
      </c>
    </row>
    <row r="31" spans="2:15" ht="15" thickBot="1" x14ac:dyDescent="0.35">
      <c r="M31" s="2" t="s">
        <v>342</v>
      </c>
      <c r="N31" s="2"/>
      <c r="O31" s="74"/>
    </row>
    <row r="32" spans="2:15" x14ac:dyDescent="0.3">
      <c r="M32" s="2" t="s">
        <v>343</v>
      </c>
      <c r="N32" s="33"/>
      <c r="O32" t="s">
        <v>344</v>
      </c>
    </row>
    <row r="33" spans="2:15" ht="15" thickBot="1" x14ac:dyDescent="0.35">
      <c r="B33" s="22" t="s">
        <v>91</v>
      </c>
      <c r="C33" s="19">
        <v>0.60468749999999993</v>
      </c>
      <c r="D33" s="22" t="s">
        <v>92</v>
      </c>
      <c r="E33" s="21">
        <f ca="1">TODAY()</f>
        <v>45853</v>
      </c>
      <c r="M33" s="2" t="s">
        <v>345</v>
      </c>
      <c r="N33" s="33"/>
      <c r="O33" s="73" t="s">
        <v>346</v>
      </c>
    </row>
    <row r="34" spans="2:15" ht="15" thickBot="1" x14ac:dyDescent="0.35">
      <c r="B34" s="18"/>
      <c r="C34" s="20">
        <f>HOUR(C33)</f>
        <v>14</v>
      </c>
      <c r="D34" s="18"/>
      <c r="E34" s="20">
        <f ca="1">DAY(E33)</f>
        <v>15</v>
      </c>
      <c r="M34" s="2" t="s">
        <v>347</v>
      </c>
      <c r="N34" s="2">
        <v>450</v>
      </c>
      <c r="O34" s="74"/>
    </row>
    <row r="35" spans="2:15" x14ac:dyDescent="0.3">
      <c r="B35" s="22" t="s">
        <v>93</v>
      </c>
      <c r="C35" s="19">
        <v>0.65052083333333333</v>
      </c>
      <c r="D35" s="22" t="s">
        <v>94</v>
      </c>
      <c r="E35" s="21">
        <f ca="1">TODAY()</f>
        <v>45853</v>
      </c>
      <c r="M35" s="2" t="s">
        <v>348</v>
      </c>
      <c r="N35" s="33"/>
      <c r="O35" t="s">
        <v>349</v>
      </c>
    </row>
    <row r="36" spans="2:15" ht="15" thickBot="1" x14ac:dyDescent="0.35">
      <c r="C36" s="20">
        <f>MINUTE(C35)</f>
        <v>36</v>
      </c>
      <c r="E36" s="20">
        <f ca="1">MONTH(E35)</f>
        <v>7</v>
      </c>
      <c r="M36" s="2" t="s">
        <v>350</v>
      </c>
      <c r="N36" s="33"/>
      <c r="O36" s="73" t="s">
        <v>351</v>
      </c>
    </row>
    <row r="37" spans="2:15" ht="15" thickBot="1" x14ac:dyDescent="0.35">
      <c r="B37" s="22" t="s">
        <v>95</v>
      </c>
      <c r="C37" s="19">
        <v>0.5630208333333333</v>
      </c>
      <c r="D37" s="22" t="s">
        <v>96</v>
      </c>
      <c r="E37" s="21">
        <f ca="1">TODAY()</f>
        <v>45853</v>
      </c>
      <c r="M37" s="2" t="s">
        <v>352</v>
      </c>
      <c r="N37" s="2">
        <v>900</v>
      </c>
      <c r="O37" s="74"/>
    </row>
    <row r="38" spans="2:15" x14ac:dyDescent="0.3">
      <c r="C38" s="20">
        <f>SECOND(C37)</f>
        <v>45</v>
      </c>
      <c r="E38" s="20">
        <f ca="1">YEAR(E37)</f>
        <v>2025</v>
      </c>
      <c r="M38" s="2" t="s">
        <v>353</v>
      </c>
      <c r="N38" s="2">
        <v>850</v>
      </c>
    </row>
    <row r="39" spans="2:15" x14ac:dyDescent="0.3">
      <c r="M39" s="2" t="s">
        <v>30</v>
      </c>
      <c r="N39" s="33"/>
    </row>
    <row r="40" spans="2:15" x14ac:dyDescent="0.3">
      <c r="M40" s="2" t="s">
        <v>354</v>
      </c>
      <c r="N40" s="33"/>
    </row>
    <row r="41" spans="2:15" x14ac:dyDescent="0.3">
      <c r="M41" s="2" t="s">
        <v>355</v>
      </c>
      <c r="N41" s="2">
        <v>200</v>
      </c>
    </row>
  </sheetData>
  <mergeCells count="7">
    <mergeCell ref="G2:J2"/>
    <mergeCell ref="B1:E1"/>
    <mergeCell ref="L2:Y2"/>
    <mergeCell ref="B29:E29"/>
    <mergeCell ref="I17:K17"/>
    <mergeCell ref="I23:K23"/>
    <mergeCell ref="M17:N17"/>
  </mergeCells>
  <phoneticPr fontId="9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1D484-EE82-4DA0-B996-16EFDAB8BFF3}">
  <sheetPr>
    <tabColor theme="8" tint="-0.249977111117893"/>
  </sheetPr>
  <dimension ref="A2:K26"/>
  <sheetViews>
    <sheetView workbookViewId="0">
      <selection activeCell="I27" sqref="I27"/>
    </sheetView>
  </sheetViews>
  <sheetFormatPr defaultRowHeight="14.4" x14ac:dyDescent="0.3"/>
  <cols>
    <col min="1" max="1" width="9.44140625" bestFit="1" customWidth="1"/>
    <col min="2" max="2" width="38" bestFit="1" customWidth="1"/>
    <col min="3" max="3" width="26.5546875" bestFit="1" customWidth="1"/>
    <col min="4" max="4" width="20.44140625" bestFit="1" customWidth="1"/>
    <col min="5" max="5" width="5.5546875" bestFit="1" customWidth="1"/>
    <col min="6" max="6" width="9.6640625" bestFit="1" customWidth="1"/>
    <col min="7" max="7" width="14.6640625" bestFit="1" customWidth="1"/>
    <col min="8" max="8" width="29" bestFit="1" customWidth="1"/>
    <col min="9" max="9" width="9.6640625" bestFit="1" customWidth="1"/>
    <col min="10" max="10" width="32.88671875" bestFit="1" customWidth="1"/>
    <col min="11" max="11" width="29" bestFit="1" customWidth="1"/>
    <col min="14" max="14" width="32.88671875" bestFit="1" customWidth="1"/>
  </cols>
  <sheetData>
    <row r="2" spans="1:10" ht="22.8" x14ac:dyDescent="0.4">
      <c r="A2" s="83" t="s">
        <v>211</v>
      </c>
      <c r="B2" s="83"/>
      <c r="C2" s="83"/>
      <c r="D2" s="83"/>
      <c r="E2" s="83"/>
      <c r="F2" s="83"/>
      <c r="G2" s="83"/>
      <c r="H2" s="83"/>
      <c r="J2" s="51" t="s">
        <v>267</v>
      </c>
    </row>
    <row r="3" spans="1:10" x14ac:dyDescent="0.3">
      <c r="A3" s="45" t="s">
        <v>35</v>
      </c>
      <c r="B3" s="45" t="s">
        <v>212</v>
      </c>
      <c r="C3" s="45" t="s">
        <v>213</v>
      </c>
      <c r="D3" s="45" t="s">
        <v>214</v>
      </c>
      <c r="E3" s="45" t="s">
        <v>215</v>
      </c>
      <c r="F3" s="45" t="s">
        <v>216</v>
      </c>
      <c r="G3" s="45" t="s">
        <v>217</v>
      </c>
      <c r="H3" s="45" t="s">
        <v>218</v>
      </c>
      <c r="J3" s="47" t="s">
        <v>219</v>
      </c>
    </row>
    <row r="4" spans="1:10" x14ac:dyDescent="0.3">
      <c r="A4" s="46">
        <v>1</v>
      </c>
      <c r="B4" s="47" t="s">
        <v>219</v>
      </c>
      <c r="C4" s="48" t="s">
        <v>220</v>
      </c>
      <c r="D4" s="48" t="s">
        <v>221</v>
      </c>
      <c r="E4" s="48" t="s">
        <v>222</v>
      </c>
      <c r="F4" s="49" t="s">
        <v>223</v>
      </c>
      <c r="G4" s="50">
        <v>11123456789</v>
      </c>
      <c r="H4" s="48" t="s">
        <v>224</v>
      </c>
      <c r="J4" s="47" t="s">
        <v>219</v>
      </c>
    </row>
    <row r="5" spans="1:10" x14ac:dyDescent="0.3">
      <c r="A5" s="46">
        <v>2</v>
      </c>
      <c r="B5" s="47" t="s">
        <v>225</v>
      </c>
      <c r="C5" s="47" t="s">
        <v>226</v>
      </c>
      <c r="D5" s="47" t="s">
        <v>227</v>
      </c>
      <c r="E5" s="47" t="s">
        <v>228</v>
      </c>
      <c r="F5" s="49" t="s">
        <v>229</v>
      </c>
      <c r="G5" s="50">
        <v>11123456790</v>
      </c>
      <c r="H5" s="48" t="s">
        <v>224</v>
      </c>
      <c r="J5" s="47" t="s">
        <v>230</v>
      </c>
    </row>
    <row r="6" spans="1:10" x14ac:dyDescent="0.3">
      <c r="A6" s="46">
        <v>3</v>
      </c>
      <c r="B6" s="47" t="s">
        <v>230</v>
      </c>
      <c r="C6" s="48" t="s">
        <v>231</v>
      </c>
      <c r="D6" s="48" t="s">
        <v>232</v>
      </c>
      <c r="E6" s="47" t="s">
        <v>233</v>
      </c>
      <c r="F6" s="49" t="s">
        <v>234</v>
      </c>
      <c r="G6" s="50">
        <v>11123456791</v>
      </c>
      <c r="H6" s="48" t="s">
        <v>224</v>
      </c>
      <c r="J6" s="47" t="s">
        <v>235</v>
      </c>
    </row>
    <row r="7" spans="1:10" x14ac:dyDescent="0.3">
      <c r="A7" s="46">
        <v>4</v>
      </c>
      <c r="B7" s="47" t="s">
        <v>235</v>
      </c>
      <c r="C7" s="47" t="s">
        <v>236</v>
      </c>
      <c r="D7" s="47" t="s">
        <v>237</v>
      </c>
      <c r="E7" s="47" t="s">
        <v>238</v>
      </c>
      <c r="F7" s="49" t="s">
        <v>239</v>
      </c>
      <c r="G7" s="50">
        <v>11123456792</v>
      </c>
      <c r="H7" s="48" t="s">
        <v>224</v>
      </c>
      <c r="J7" s="47" t="s">
        <v>230</v>
      </c>
    </row>
    <row r="8" spans="1:10" x14ac:dyDescent="0.3">
      <c r="A8" s="46">
        <v>5</v>
      </c>
      <c r="B8" s="47" t="s">
        <v>240</v>
      </c>
      <c r="C8" s="48" t="s">
        <v>241</v>
      </c>
      <c r="D8" s="48" t="s">
        <v>242</v>
      </c>
      <c r="E8" s="47" t="s">
        <v>243</v>
      </c>
      <c r="F8" s="49" t="s">
        <v>244</v>
      </c>
      <c r="G8" s="50">
        <v>11123456793</v>
      </c>
      <c r="H8" s="48" t="s">
        <v>224</v>
      </c>
      <c r="J8" s="47" t="s">
        <v>245</v>
      </c>
    </row>
    <row r="9" spans="1:10" x14ac:dyDescent="0.3">
      <c r="A9" s="46">
        <v>6</v>
      </c>
      <c r="B9" s="47" t="s">
        <v>245</v>
      </c>
      <c r="C9" s="47" t="s">
        <v>246</v>
      </c>
      <c r="D9" s="47" t="s">
        <v>247</v>
      </c>
      <c r="E9" s="47" t="s">
        <v>228</v>
      </c>
      <c r="F9" s="49" t="s">
        <v>248</v>
      </c>
      <c r="G9" s="50">
        <v>11123456794</v>
      </c>
      <c r="H9" s="48" t="s">
        <v>224</v>
      </c>
      <c r="J9" s="47" t="s">
        <v>230</v>
      </c>
    </row>
    <row r="10" spans="1:10" x14ac:dyDescent="0.3">
      <c r="A10" s="46">
        <v>7</v>
      </c>
      <c r="B10" s="47" t="s">
        <v>249</v>
      </c>
      <c r="C10" s="48" t="s">
        <v>250</v>
      </c>
      <c r="D10" s="48" t="s">
        <v>251</v>
      </c>
      <c r="E10" s="47" t="s">
        <v>252</v>
      </c>
      <c r="F10" s="49" t="s">
        <v>253</v>
      </c>
      <c r="G10" s="50">
        <v>11123456795</v>
      </c>
      <c r="H10" s="48" t="s">
        <v>224</v>
      </c>
      <c r="J10" s="47" t="s">
        <v>263</v>
      </c>
    </row>
    <row r="11" spans="1:10" x14ac:dyDescent="0.3">
      <c r="A11" s="46">
        <v>8</v>
      </c>
      <c r="B11" s="47" t="s">
        <v>254</v>
      </c>
      <c r="C11" s="47" t="s">
        <v>255</v>
      </c>
      <c r="D11" s="47" t="s">
        <v>256</v>
      </c>
      <c r="E11" s="47" t="s">
        <v>257</v>
      </c>
      <c r="F11" s="49" t="s">
        <v>258</v>
      </c>
      <c r="G11" s="50">
        <v>11123456796</v>
      </c>
      <c r="H11" s="48" t="s">
        <v>224</v>
      </c>
      <c r="J11" s="47" t="s">
        <v>259</v>
      </c>
    </row>
    <row r="12" spans="1:10" x14ac:dyDescent="0.3">
      <c r="A12" s="46">
        <v>9</v>
      </c>
      <c r="B12" s="47" t="s">
        <v>259</v>
      </c>
      <c r="C12" s="48" t="s">
        <v>260</v>
      </c>
      <c r="D12" s="48" t="s">
        <v>261</v>
      </c>
      <c r="E12" s="47" t="s">
        <v>222</v>
      </c>
      <c r="F12" s="49" t="s">
        <v>262</v>
      </c>
      <c r="G12" s="50">
        <v>11123456797</v>
      </c>
      <c r="H12" s="48" t="s">
        <v>224</v>
      </c>
      <c r="J12" s="47" t="s">
        <v>263</v>
      </c>
    </row>
    <row r="13" spans="1:10" x14ac:dyDescent="0.3">
      <c r="A13" s="46">
        <v>10</v>
      </c>
      <c r="B13" s="47" t="s">
        <v>263</v>
      </c>
      <c r="C13" s="47" t="s">
        <v>264</v>
      </c>
      <c r="D13" s="47" t="s">
        <v>265</v>
      </c>
      <c r="E13" s="47" t="s">
        <v>222</v>
      </c>
      <c r="F13" s="49" t="s">
        <v>266</v>
      </c>
      <c r="G13" s="50">
        <v>11123456798</v>
      </c>
      <c r="H13" s="48" t="s">
        <v>224</v>
      </c>
      <c r="J13" s="47" t="s">
        <v>263</v>
      </c>
    </row>
    <row r="18" spans="2:11" ht="22.8" x14ac:dyDescent="0.4">
      <c r="B18" s="84" t="s">
        <v>316</v>
      </c>
      <c r="C18" s="84"/>
      <c r="J18" s="84" t="s">
        <v>321</v>
      </c>
      <c r="K18" s="84"/>
    </row>
    <row r="19" spans="2:11" x14ac:dyDescent="0.3">
      <c r="B19" s="64" t="s">
        <v>317</v>
      </c>
      <c r="C19" s="64" t="s">
        <v>89</v>
      </c>
      <c r="J19" t="s">
        <v>322</v>
      </c>
      <c r="K19" s="36">
        <v>9.5</v>
      </c>
    </row>
    <row r="20" spans="2:11" x14ac:dyDescent="0.3">
      <c r="B20" s="65">
        <v>5</v>
      </c>
      <c r="C20" s="3" t="s">
        <v>318</v>
      </c>
      <c r="J20" t="s">
        <v>323</v>
      </c>
      <c r="K20" s="36">
        <v>8.5</v>
      </c>
    </row>
    <row r="21" spans="2:11" x14ac:dyDescent="0.3">
      <c r="B21" s="65">
        <v>7.5</v>
      </c>
      <c r="C21" s="3" t="s">
        <v>319</v>
      </c>
      <c r="J21" t="s">
        <v>30</v>
      </c>
      <c r="K21" s="36">
        <v>9.4</v>
      </c>
    </row>
    <row r="22" spans="2:11" x14ac:dyDescent="0.3">
      <c r="B22" s="65">
        <v>4.5</v>
      </c>
      <c r="C22" s="3" t="s">
        <v>318</v>
      </c>
      <c r="J22" t="s">
        <v>324</v>
      </c>
      <c r="K22" s="36">
        <v>6.5</v>
      </c>
    </row>
    <row r="23" spans="2:11" x14ac:dyDescent="0.3">
      <c r="B23" s="65">
        <v>4</v>
      </c>
      <c r="C23" s="3" t="s">
        <v>318</v>
      </c>
      <c r="J23" t="s">
        <v>325</v>
      </c>
      <c r="K23" s="36">
        <v>7.8</v>
      </c>
    </row>
    <row r="24" spans="2:11" x14ac:dyDescent="0.3">
      <c r="B24" s="65">
        <v>8.5</v>
      </c>
      <c r="C24" s="3" t="s">
        <v>319</v>
      </c>
      <c r="J24" t="s">
        <v>326</v>
      </c>
      <c r="K24" s="36">
        <v>9.1</v>
      </c>
    </row>
    <row r="25" spans="2:11" x14ac:dyDescent="0.3">
      <c r="B25" s="65">
        <v>9</v>
      </c>
      <c r="C25" s="3" t="s">
        <v>319</v>
      </c>
      <c r="J25" t="s">
        <v>327</v>
      </c>
      <c r="K25" s="36">
        <v>10</v>
      </c>
    </row>
    <row r="26" spans="2:11" x14ac:dyDescent="0.3">
      <c r="B26" s="63"/>
      <c r="J26" t="s">
        <v>328</v>
      </c>
      <c r="K26" s="36">
        <v>7.7</v>
      </c>
    </row>
  </sheetData>
  <autoFilter ref="A3:H13" xr:uid="{8111D484-EE82-4DA0-B996-16EFDAB8BFF3}"/>
  <mergeCells count="3">
    <mergeCell ref="A2:H2"/>
    <mergeCell ref="B18:C18"/>
    <mergeCell ref="J18:K18"/>
  </mergeCells>
  <conditionalFormatting sqref="B20:B25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{5A476B7A-16FE-41AB-B3B4-8B7423084DE8}</x14:id>
        </ext>
      </extLst>
    </cfRule>
  </conditionalFormatting>
  <conditionalFormatting sqref="C20:C25">
    <cfRule type="cellIs" dxfId="3" priority="2" operator="equal">
      <formula>"Aprovado"</formula>
    </cfRule>
    <cfRule type="cellIs" dxfId="2" priority="3" operator="equal">
      <formula>"Reprovado"</formula>
    </cfRule>
  </conditionalFormatting>
  <hyperlinks>
    <hyperlink ref="H4" r:id="rId1" display="funcionario1@empresa.com.br" xr:uid="{ABABAB14-8781-42A9-B3C9-2EEF6FB4A532}"/>
    <hyperlink ref="H5:H13" r:id="rId2" display="funcionario1@empresa.com.br" xr:uid="{F77093E1-FAC3-487C-80D5-95AA5602DD27}"/>
  </hyperlinks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A476B7A-16FE-41AB-B3B4-8B7423084DE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B20:B25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9F423-B925-4E13-B03B-7A9814D1E05A}">
  <dimension ref="A1:F12"/>
  <sheetViews>
    <sheetView topLeftCell="A5" zoomScale="115" zoomScaleNormal="115" workbookViewId="0">
      <selection activeCell="C27" sqref="C27"/>
    </sheetView>
  </sheetViews>
  <sheetFormatPr defaultRowHeight="14.4" x14ac:dyDescent="0.3"/>
  <cols>
    <col min="5" max="5" width="12.109375" bestFit="1" customWidth="1"/>
    <col min="6" max="6" width="12.6640625" bestFit="1" customWidth="1"/>
  </cols>
  <sheetData>
    <row r="1" spans="1:6" x14ac:dyDescent="0.3">
      <c r="A1" s="85" t="s">
        <v>34</v>
      </c>
      <c r="B1" s="85"/>
      <c r="C1" s="85"/>
      <c r="D1" s="85"/>
      <c r="E1" s="85"/>
      <c r="F1" s="85"/>
    </row>
    <row r="3" spans="1:6" x14ac:dyDescent="0.3">
      <c r="A3" s="6" t="s">
        <v>35</v>
      </c>
      <c r="B3" s="6" t="s">
        <v>36</v>
      </c>
      <c r="C3" s="6" t="s">
        <v>37</v>
      </c>
      <c r="D3" s="6" t="s">
        <v>38</v>
      </c>
      <c r="E3" s="6" t="s">
        <v>39</v>
      </c>
      <c r="F3" s="6" t="s">
        <v>40</v>
      </c>
    </row>
    <row r="4" spans="1:6" x14ac:dyDescent="0.3">
      <c r="A4" s="2">
        <v>1</v>
      </c>
      <c r="B4" s="2" t="s">
        <v>41</v>
      </c>
      <c r="C4" s="2" t="s">
        <v>42</v>
      </c>
      <c r="D4" s="2">
        <v>11</v>
      </c>
      <c r="E4" s="7">
        <v>18.899999999999999</v>
      </c>
      <c r="F4" s="8"/>
    </row>
    <row r="5" spans="1:6" x14ac:dyDescent="0.3">
      <c r="A5" s="2">
        <v>2</v>
      </c>
      <c r="B5" s="2" t="s">
        <v>43</v>
      </c>
      <c r="C5" s="2" t="s">
        <v>44</v>
      </c>
      <c r="D5" s="2">
        <v>22</v>
      </c>
      <c r="E5" s="7">
        <v>352</v>
      </c>
      <c r="F5" s="8"/>
    </row>
    <row r="6" spans="1:6" x14ac:dyDescent="0.3">
      <c r="A6" s="2">
        <v>3</v>
      </c>
      <c r="B6" s="2" t="s">
        <v>45</v>
      </c>
      <c r="C6" s="2" t="s">
        <v>46</v>
      </c>
      <c r="D6" s="2">
        <v>5</v>
      </c>
      <c r="E6" s="7">
        <v>154.22</v>
      </c>
      <c r="F6" s="8"/>
    </row>
    <row r="7" spans="1:6" x14ac:dyDescent="0.3">
      <c r="A7" s="2">
        <v>4</v>
      </c>
      <c r="B7" s="2" t="s">
        <v>41</v>
      </c>
      <c r="C7" s="2" t="s">
        <v>47</v>
      </c>
      <c r="D7" s="2">
        <v>12</v>
      </c>
      <c r="E7" s="7">
        <v>1548</v>
      </c>
      <c r="F7" s="8"/>
    </row>
    <row r="8" spans="1:6" x14ac:dyDescent="0.3">
      <c r="A8" s="86" t="s">
        <v>40</v>
      </c>
      <c r="B8" s="86"/>
      <c r="C8" s="86"/>
      <c r="D8" s="2"/>
      <c r="E8" s="8"/>
      <c r="F8" s="8"/>
    </row>
    <row r="11" spans="1:6" x14ac:dyDescent="0.3">
      <c r="A11" t="s">
        <v>48</v>
      </c>
    </row>
    <row r="12" spans="1:6" x14ac:dyDescent="0.3">
      <c r="A12" t="s">
        <v>49</v>
      </c>
    </row>
  </sheetData>
  <mergeCells count="2">
    <mergeCell ref="A1:F1"/>
    <mergeCell ref="A8:C8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4C26A-FD97-4D8B-8D81-EBE1F87A57C1}">
  <dimension ref="A1:E16"/>
  <sheetViews>
    <sheetView zoomScale="160" zoomScaleNormal="160" workbookViewId="0">
      <selection activeCell="E6" sqref="E6"/>
    </sheetView>
  </sheetViews>
  <sheetFormatPr defaultRowHeight="14.4" x14ac:dyDescent="0.3"/>
  <cols>
    <col min="1" max="1" width="21.88671875" customWidth="1"/>
    <col min="2" max="2" width="16" customWidth="1"/>
    <col min="3" max="3" width="13.44140625" bestFit="1" customWidth="1"/>
    <col min="4" max="4" width="20.88671875" bestFit="1" customWidth="1"/>
    <col min="5" max="5" width="21.6640625" bestFit="1" customWidth="1"/>
  </cols>
  <sheetData>
    <row r="1" spans="1:5" ht="15" thickBot="1" x14ac:dyDescent="0.35">
      <c r="A1" s="87" t="s">
        <v>50</v>
      </c>
      <c r="B1" s="88"/>
      <c r="C1" s="88"/>
      <c r="D1" s="88"/>
      <c r="E1" s="89"/>
    </row>
    <row r="2" spans="1:5" ht="15" thickBot="1" x14ac:dyDescent="0.35"/>
    <row r="3" spans="1:5" ht="15" thickBot="1" x14ac:dyDescent="0.35">
      <c r="A3" s="9" t="s">
        <v>51</v>
      </c>
      <c r="B3" s="10">
        <v>5.15</v>
      </c>
    </row>
    <row r="4" spans="1:5" ht="15" thickBot="1" x14ac:dyDescent="0.35">
      <c r="A4" s="11" t="s">
        <v>52</v>
      </c>
      <c r="B4" s="12" t="s">
        <v>53</v>
      </c>
      <c r="C4" s="12" t="s">
        <v>54</v>
      </c>
      <c r="D4" s="12" t="s">
        <v>55</v>
      </c>
      <c r="E4" s="12" t="s">
        <v>56</v>
      </c>
    </row>
    <row r="5" spans="1:5" ht="15" thickBot="1" x14ac:dyDescent="0.35">
      <c r="A5" s="13" t="s">
        <v>57</v>
      </c>
      <c r="B5" s="14">
        <v>300</v>
      </c>
      <c r="C5" s="15"/>
      <c r="D5" s="16">
        <v>10</v>
      </c>
      <c r="E5" s="17"/>
    </row>
    <row r="6" spans="1:5" ht="15" thickBot="1" x14ac:dyDescent="0.35">
      <c r="A6" s="13" t="s">
        <v>58</v>
      </c>
      <c r="B6" s="14">
        <v>280</v>
      </c>
      <c r="C6" s="15"/>
      <c r="D6" s="16">
        <v>20</v>
      </c>
      <c r="E6" s="17"/>
    </row>
    <row r="7" spans="1:5" ht="15" thickBot="1" x14ac:dyDescent="0.35">
      <c r="A7" s="13" t="s">
        <v>59</v>
      </c>
      <c r="B7" s="14">
        <v>25</v>
      </c>
      <c r="C7" s="15"/>
      <c r="D7" s="16">
        <v>5</v>
      </c>
      <c r="E7" s="17"/>
    </row>
    <row r="8" spans="1:5" ht="15" thickBot="1" x14ac:dyDescent="0.35">
      <c r="A8" s="13" t="s">
        <v>60</v>
      </c>
      <c r="B8" s="14">
        <v>80</v>
      </c>
      <c r="C8" s="15"/>
      <c r="D8" s="16">
        <v>15</v>
      </c>
      <c r="E8" s="17"/>
    </row>
    <row r="9" spans="1:5" ht="15" thickBot="1" x14ac:dyDescent="0.35">
      <c r="A9" s="13" t="s">
        <v>61</v>
      </c>
      <c r="B9" s="14">
        <v>350</v>
      </c>
      <c r="C9" s="15"/>
      <c r="D9" s="16">
        <v>9</v>
      </c>
      <c r="E9" s="17"/>
    </row>
    <row r="10" spans="1:5" ht="15" thickBot="1" x14ac:dyDescent="0.35">
      <c r="D10" s="13" t="s">
        <v>62</v>
      </c>
      <c r="E10" s="17"/>
    </row>
    <row r="14" spans="1:5" x14ac:dyDescent="0.3">
      <c r="A14" t="s">
        <v>63</v>
      </c>
    </row>
    <row r="15" spans="1:5" x14ac:dyDescent="0.3">
      <c r="A15" t="s">
        <v>64</v>
      </c>
    </row>
    <row r="16" spans="1:5" x14ac:dyDescent="0.3">
      <c r="A16" t="s">
        <v>65</v>
      </c>
    </row>
  </sheetData>
  <mergeCells count="1">
    <mergeCell ref="A1:E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41395-C954-4972-93E2-17F85419E860}">
  <dimension ref="A1:I19"/>
  <sheetViews>
    <sheetView zoomScale="130" zoomScaleNormal="130" workbookViewId="0">
      <selection activeCell="J20" sqref="J20"/>
    </sheetView>
  </sheetViews>
  <sheetFormatPr defaultRowHeight="14.4" x14ac:dyDescent="0.3"/>
  <sheetData>
    <row r="1" spans="1:9" x14ac:dyDescent="0.3">
      <c r="A1" s="24" t="s">
        <v>97</v>
      </c>
      <c r="B1" s="25"/>
      <c r="C1" s="25"/>
      <c r="D1" s="26"/>
    </row>
    <row r="2" spans="1:9" x14ac:dyDescent="0.3">
      <c r="A2" s="27" t="s">
        <v>98</v>
      </c>
      <c r="B2" s="27" t="s">
        <v>99</v>
      </c>
      <c r="C2" s="27" t="s">
        <v>100</v>
      </c>
      <c r="D2" s="27" t="s">
        <v>101</v>
      </c>
    </row>
    <row r="3" spans="1:9" x14ac:dyDescent="0.3">
      <c r="A3" s="2" t="s">
        <v>102</v>
      </c>
      <c r="B3" s="2" t="s">
        <v>111</v>
      </c>
      <c r="C3" s="2" t="s">
        <v>112</v>
      </c>
      <c r="D3" s="23">
        <v>660</v>
      </c>
    </row>
    <row r="4" spans="1:9" x14ac:dyDescent="0.3">
      <c r="A4" s="2" t="s">
        <v>102</v>
      </c>
      <c r="B4" s="2" t="s">
        <v>103</v>
      </c>
      <c r="C4" s="2" t="s">
        <v>109</v>
      </c>
      <c r="D4" s="23">
        <v>12000</v>
      </c>
    </row>
    <row r="5" spans="1:9" x14ac:dyDescent="0.3">
      <c r="A5" s="2" t="s">
        <v>102</v>
      </c>
      <c r="B5" s="2" t="s">
        <v>107</v>
      </c>
      <c r="C5" s="2" t="s">
        <v>109</v>
      </c>
      <c r="D5" s="23">
        <v>12456</v>
      </c>
    </row>
    <row r="6" spans="1:9" x14ac:dyDescent="0.3">
      <c r="A6" s="2" t="s">
        <v>102</v>
      </c>
      <c r="B6" s="2" t="s">
        <v>108</v>
      </c>
      <c r="C6" s="2" t="s">
        <v>109</v>
      </c>
      <c r="D6" s="23">
        <v>12000</v>
      </c>
    </row>
    <row r="7" spans="1:9" x14ac:dyDescent="0.3">
      <c r="A7" s="2" t="s">
        <v>102</v>
      </c>
      <c r="B7" s="2" t="s">
        <v>110</v>
      </c>
      <c r="C7" s="2" t="s">
        <v>109</v>
      </c>
      <c r="D7" s="23">
        <v>5500</v>
      </c>
    </row>
    <row r="8" spans="1:9" x14ac:dyDescent="0.3">
      <c r="A8" s="2" t="s">
        <v>102</v>
      </c>
      <c r="B8" s="2" t="s">
        <v>105</v>
      </c>
      <c r="C8" s="2" t="s">
        <v>106</v>
      </c>
      <c r="D8" s="23">
        <v>1500</v>
      </c>
    </row>
    <row r="9" spans="1:9" x14ac:dyDescent="0.3">
      <c r="A9" s="2" t="s">
        <v>102</v>
      </c>
      <c r="B9" s="2" t="s">
        <v>107</v>
      </c>
      <c r="C9" s="2" t="s">
        <v>106</v>
      </c>
      <c r="D9" s="23">
        <v>580</v>
      </c>
    </row>
    <row r="10" spans="1:9" x14ac:dyDescent="0.3">
      <c r="A10" s="2" t="s">
        <v>102</v>
      </c>
      <c r="B10" s="2" t="s">
        <v>108</v>
      </c>
      <c r="C10" s="2" t="s">
        <v>106</v>
      </c>
      <c r="D10" s="23">
        <v>5800</v>
      </c>
    </row>
    <row r="11" spans="1:9" x14ac:dyDescent="0.3">
      <c r="A11" s="2" t="s">
        <v>102</v>
      </c>
      <c r="B11" s="2" t="s">
        <v>103</v>
      </c>
      <c r="C11" s="2" t="s">
        <v>104</v>
      </c>
      <c r="D11" s="23">
        <v>165</v>
      </c>
    </row>
    <row r="12" spans="1:9" x14ac:dyDescent="0.3">
      <c r="A12" s="2" t="s">
        <v>102</v>
      </c>
      <c r="B12" s="2" t="s">
        <v>105</v>
      </c>
      <c r="C12" s="2" t="s">
        <v>104</v>
      </c>
      <c r="D12" s="23">
        <v>2350</v>
      </c>
    </row>
    <row r="15" spans="1:9" ht="15" thickBot="1" x14ac:dyDescent="0.35"/>
    <row r="16" spans="1:9" x14ac:dyDescent="0.3">
      <c r="A16" s="28" t="s">
        <v>113</v>
      </c>
      <c r="B16" s="29"/>
      <c r="C16" s="29"/>
      <c r="D16" s="29"/>
      <c r="E16" s="29"/>
      <c r="F16" s="29"/>
      <c r="G16" s="29"/>
      <c r="H16" s="29"/>
      <c r="I16" s="30"/>
    </row>
    <row r="17" spans="1:9" x14ac:dyDescent="0.3">
      <c r="A17" s="31" t="s">
        <v>114</v>
      </c>
      <c r="I17" s="32"/>
    </row>
    <row r="18" spans="1:9" x14ac:dyDescent="0.3">
      <c r="A18" s="31" t="s">
        <v>115</v>
      </c>
      <c r="I18" s="32"/>
    </row>
    <row r="19" spans="1:9" ht="15" thickBot="1" x14ac:dyDescent="0.35">
      <c r="A19" s="90" t="s">
        <v>116</v>
      </c>
      <c r="B19" s="91"/>
      <c r="C19" s="91"/>
      <c r="D19" s="91"/>
      <c r="E19" s="91"/>
      <c r="F19" s="91"/>
      <c r="G19" s="91"/>
      <c r="H19" s="91"/>
      <c r="I19" s="92"/>
    </row>
  </sheetData>
  <sortState xmlns:xlrd2="http://schemas.microsoft.com/office/spreadsheetml/2017/richdata2" ref="A2:D12">
    <sortCondition descending="1" ref="C2:C12"/>
  </sortState>
  <mergeCells count="1">
    <mergeCell ref="A19:I19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91517-9B8F-49E8-83DF-8E4DBBDE97FB}">
  <dimension ref="A1:F18"/>
  <sheetViews>
    <sheetView zoomScale="145" zoomScaleNormal="145" workbookViewId="0">
      <selection activeCell="A19" sqref="A19"/>
    </sheetView>
  </sheetViews>
  <sheetFormatPr defaultRowHeight="14.4" x14ac:dyDescent="0.3"/>
  <sheetData>
    <row r="1" spans="1:6" x14ac:dyDescent="0.3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</row>
    <row r="2" spans="1:6" x14ac:dyDescent="0.3">
      <c r="A2" t="s">
        <v>123</v>
      </c>
      <c r="B2">
        <v>456</v>
      </c>
      <c r="C2">
        <v>376</v>
      </c>
      <c r="D2">
        <v>346</v>
      </c>
      <c r="E2">
        <v>365</v>
      </c>
    </row>
    <row r="3" spans="1:6" x14ac:dyDescent="0.3">
      <c r="A3" t="s">
        <v>124</v>
      </c>
      <c r="B3">
        <v>756</v>
      </c>
      <c r="C3">
        <v>758</v>
      </c>
      <c r="D3">
        <v>546</v>
      </c>
      <c r="E3">
        <v>536</v>
      </c>
    </row>
    <row r="4" spans="1:6" x14ac:dyDescent="0.3">
      <c r="A4" t="s">
        <v>125</v>
      </c>
      <c r="B4">
        <v>658</v>
      </c>
      <c r="C4">
        <v>412</v>
      </c>
      <c r="D4">
        <v>321</v>
      </c>
      <c r="E4">
        <v>658</v>
      </c>
    </row>
    <row r="5" spans="1:6" x14ac:dyDescent="0.3">
      <c r="A5" t="s">
        <v>126</v>
      </c>
      <c r="B5">
        <v>354</v>
      </c>
      <c r="C5">
        <v>963</v>
      </c>
      <c r="D5">
        <v>946</v>
      </c>
      <c r="E5">
        <v>765</v>
      </c>
    </row>
    <row r="6" spans="1:6" x14ac:dyDescent="0.3">
      <c r="A6" t="s">
        <v>127</v>
      </c>
      <c r="B6">
        <v>687</v>
      </c>
      <c r="C6">
        <v>528</v>
      </c>
      <c r="D6">
        <v>368</v>
      </c>
      <c r="E6">
        <v>325</v>
      </c>
    </row>
    <row r="7" spans="1:6" x14ac:dyDescent="0.3">
      <c r="A7" t="s">
        <v>128</v>
      </c>
      <c r="B7">
        <v>4652</v>
      </c>
      <c r="C7">
        <v>7648</v>
      </c>
      <c r="D7">
        <v>3652</v>
      </c>
      <c r="E7">
        <v>7812</v>
      </c>
    </row>
    <row r="8" spans="1:6" x14ac:dyDescent="0.3">
      <c r="A8" t="s">
        <v>129</v>
      </c>
      <c r="B8">
        <v>326</v>
      </c>
      <c r="C8">
        <v>488</v>
      </c>
      <c r="D8">
        <v>953</v>
      </c>
      <c r="E8">
        <v>421</v>
      </c>
    </row>
    <row r="9" spans="1:6" x14ac:dyDescent="0.3">
      <c r="A9" t="s">
        <v>130</v>
      </c>
      <c r="B9">
        <v>564</v>
      </c>
      <c r="C9">
        <v>465</v>
      </c>
      <c r="D9">
        <v>386</v>
      </c>
      <c r="E9">
        <v>752</v>
      </c>
    </row>
    <row r="11" spans="1:6" x14ac:dyDescent="0.3">
      <c r="A11" t="s">
        <v>131</v>
      </c>
    </row>
    <row r="12" spans="1:6" x14ac:dyDescent="0.3">
      <c r="A12" t="s">
        <v>132</v>
      </c>
    </row>
    <row r="13" spans="1:6" x14ac:dyDescent="0.3">
      <c r="A13" t="s">
        <v>133</v>
      </c>
    </row>
    <row r="14" spans="1:6" x14ac:dyDescent="0.3">
      <c r="A14" t="s">
        <v>134</v>
      </c>
    </row>
    <row r="15" spans="1:6" x14ac:dyDescent="0.3">
      <c r="A15" t="s">
        <v>135</v>
      </c>
    </row>
    <row r="17" spans="1:1" x14ac:dyDescent="0.3">
      <c r="A17" t="s">
        <v>136</v>
      </c>
    </row>
    <row r="18" spans="1:1" x14ac:dyDescent="0.3">
      <c r="A18" t="s">
        <v>137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538FE-88E1-4FF8-A469-3DA08EF6292F}">
  <dimension ref="A1:K24"/>
  <sheetViews>
    <sheetView topLeftCell="G1" zoomScale="250" zoomScaleNormal="250" workbookViewId="0">
      <selection activeCell="L2" sqref="L2:L7"/>
    </sheetView>
  </sheetViews>
  <sheetFormatPr defaultRowHeight="14.4" x14ac:dyDescent="0.3"/>
  <cols>
    <col min="2" max="2" width="15.21875" customWidth="1"/>
    <col min="8" max="8" width="7.6640625" customWidth="1"/>
    <col min="9" max="9" width="8.88671875" customWidth="1"/>
    <col min="10" max="10" width="18.77734375" bestFit="1" customWidth="1"/>
    <col min="11" max="11" width="15.21875" bestFit="1" customWidth="1"/>
  </cols>
  <sheetData>
    <row r="1" spans="1:11" x14ac:dyDescent="0.3">
      <c r="B1" t="s">
        <v>152</v>
      </c>
      <c r="H1" s="106"/>
    </row>
    <row r="2" spans="1:11" x14ac:dyDescent="0.3">
      <c r="A2" t="s">
        <v>153</v>
      </c>
      <c r="B2" t="s">
        <v>154</v>
      </c>
      <c r="C2" t="s">
        <v>155</v>
      </c>
      <c r="D2" t="s">
        <v>156</v>
      </c>
      <c r="E2" t="s">
        <v>157</v>
      </c>
      <c r="F2" t="s">
        <v>158</v>
      </c>
      <c r="G2" t="s">
        <v>159</v>
      </c>
      <c r="H2" t="s">
        <v>356</v>
      </c>
      <c r="I2" t="s">
        <v>357</v>
      </c>
      <c r="J2" t="s">
        <v>358</v>
      </c>
      <c r="K2" t="s">
        <v>359</v>
      </c>
    </row>
    <row r="3" spans="1:11" x14ac:dyDescent="0.3">
      <c r="A3">
        <v>1</v>
      </c>
      <c r="B3" t="s">
        <v>160</v>
      </c>
      <c r="C3">
        <v>7.1</v>
      </c>
      <c r="D3">
        <v>7.6</v>
      </c>
      <c r="E3">
        <v>8.1</v>
      </c>
      <c r="F3">
        <v>8.9</v>
      </c>
      <c r="G3" s="104">
        <f>AVERAGE(C3:F3)</f>
        <v>7.9249999999999989</v>
      </c>
      <c r="H3" s="105">
        <v>0.75</v>
      </c>
      <c r="I3" s="36" t="str">
        <f>IF(G3&gt;=7,"AP","Rep")</f>
        <v>AP</v>
      </c>
      <c r="J3" t="str">
        <f>IF(H3&gt;=75%,"Ap Frequencia", "Rep Frequencia")</f>
        <v>Ap Frequencia</v>
      </c>
      <c r="K3" t="str">
        <f>IF(H3&lt;75%,"Reprovado Falta",IF(G3&lt;7,"Reprovador Nota","Aprovado"))</f>
        <v>Aprovado</v>
      </c>
    </row>
    <row r="4" spans="1:11" x14ac:dyDescent="0.3">
      <c r="A4">
        <v>2</v>
      </c>
      <c r="B4" t="s">
        <v>161</v>
      </c>
      <c r="C4">
        <v>7.3</v>
      </c>
      <c r="D4">
        <v>7.9</v>
      </c>
      <c r="E4">
        <v>7.5</v>
      </c>
      <c r="F4">
        <v>8.1</v>
      </c>
      <c r="G4" s="104">
        <f t="shared" ref="G4:G13" si="0">AVERAGE(C4:F4)</f>
        <v>7.6999999999999993</v>
      </c>
      <c r="H4" s="105">
        <v>0.7</v>
      </c>
      <c r="I4" s="36" t="str">
        <f t="shared" ref="I4:I13" si="1">IF(G4&gt;=7,"AP","Rep")</f>
        <v>AP</v>
      </c>
      <c r="J4" t="str">
        <f t="shared" ref="J4:J13" si="2">IF(H4&gt;=75%,"Ap Frequencia", "Rep Frequencia")</f>
        <v>Rep Frequencia</v>
      </c>
      <c r="K4" t="str">
        <f t="shared" ref="K4:K13" si="3">IF(H4&lt;75%,"Reprovado Falta",IF(G4&lt;7,"Reprovador Nota","Aprovado"))</f>
        <v>Reprovado Falta</v>
      </c>
    </row>
    <row r="5" spans="1:11" x14ac:dyDescent="0.3">
      <c r="A5">
        <v>3</v>
      </c>
      <c r="B5" t="s">
        <v>162</v>
      </c>
      <c r="C5">
        <v>7.5</v>
      </c>
      <c r="D5">
        <v>7.8</v>
      </c>
      <c r="E5">
        <v>8</v>
      </c>
      <c r="F5">
        <v>5.3</v>
      </c>
      <c r="G5" s="104">
        <f t="shared" si="0"/>
        <v>7.15</v>
      </c>
      <c r="H5" s="105">
        <v>0.7</v>
      </c>
      <c r="I5" s="36" t="str">
        <f t="shared" si="1"/>
        <v>AP</v>
      </c>
      <c r="J5" t="str">
        <f t="shared" si="2"/>
        <v>Rep Frequencia</v>
      </c>
      <c r="K5" t="str">
        <f t="shared" si="3"/>
        <v>Reprovado Falta</v>
      </c>
    </row>
    <row r="6" spans="1:11" x14ac:dyDescent="0.3">
      <c r="A6">
        <v>4</v>
      </c>
      <c r="B6" t="s">
        <v>163</v>
      </c>
      <c r="C6">
        <v>8.1</v>
      </c>
      <c r="D6">
        <v>7.5</v>
      </c>
      <c r="E6">
        <v>7.2</v>
      </c>
      <c r="F6">
        <v>8.9</v>
      </c>
      <c r="G6" s="104">
        <f t="shared" si="0"/>
        <v>7.9250000000000007</v>
      </c>
      <c r="H6" s="105">
        <v>0.9</v>
      </c>
      <c r="I6" s="36" t="str">
        <f t="shared" si="1"/>
        <v>AP</v>
      </c>
      <c r="J6" t="str">
        <f t="shared" si="2"/>
        <v>Ap Frequencia</v>
      </c>
      <c r="K6" t="str">
        <f t="shared" si="3"/>
        <v>Aprovado</v>
      </c>
    </row>
    <row r="7" spans="1:11" x14ac:dyDescent="0.3">
      <c r="A7">
        <v>5</v>
      </c>
      <c r="B7" t="s">
        <v>164</v>
      </c>
      <c r="C7">
        <v>9.1999999999999993</v>
      </c>
      <c r="D7">
        <v>9.8000000000000007</v>
      </c>
      <c r="E7">
        <v>9.9</v>
      </c>
      <c r="F7">
        <v>10</v>
      </c>
      <c r="G7" s="104">
        <f t="shared" si="0"/>
        <v>9.7249999999999996</v>
      </c>
      <c r="H7" s="105">
        <v>0.7</v>
      </c>
      <c r="I7" s="36" t="str">
        <f t="shared" si="1"/>
        <v>AP</v>
      </c>
      <c r="J7" t="str">
        <f t="shared" si="2"/>
        <v>Rep Frequencia</v>
      </c>
      <c r="K7" t="str">
        <f t="shared" si="3"/>
        <v>Reprovado Falta</v>
      </c>
    </row>
    <row r="8" spans="1:11" x14ac:dyDescent="0.3">
      <c r="A8">
        <v>6</v>
      </c>
      <c r="B8" t="s">
        <v>165</v>
      </c>
      <c r="C8">
        <v>6.2</v>
      </c>
      <c r="D8">
        <v>6.7</v>
      </c>
      <c r="E8">
        <v>6.8</v>
      </c>
      <c r="F8">
        <v>6.9</v>
      </c>
      <c r="G8" s="104">
        <f t="shared" si="0"/>
        <v>6.65</v>
      </c>
      <c r="H8" s="105">
        <v>0.75</v>
      </c>
      <c r="I8" s="36" t="str">
        <f t="shared" si="1"/>
        <v>Rep</v>
      </c>
      <c r="J8" t="str">
        <f t="shared" si="2"/>
        <v>Ap Frequencia</v>
      </c>
      <c r="K8" t="str">
        <f t="shared" si="3"/>
        <v>Reprovador Nota</v>
      </c>
    </row>
    <row r="9" spans="1:11" x14ac:dyDescent="0.3">
      <c r="A9">
        <v>7</v>
      </c>
      <c r="B9" t="s">
        <v>166</v>
      </c>
      <c r="C9">
        <v>9.8000000000000007</v>
      </c>
      <c r="D9">
        <v>9</v>
      </c>
      <c r="E9">
        <v>8.1999999999999993</v>
      </c>
      <c r="F9">
        <v>8</v>
      </c>
      <c r="G9" s="104">
        <f t="shared" si="0"/>
        <v>8.75</v>
      </c>
      <c r="H9" s="105">
        <v>0.75</v>
      </c>
      <c r="I9" s="36" t="str">
        <f t="shared" si="1"/>
        <v>AP</v>
      </c>
      <c r="J9" t="str">
        <f t="shared" si="2"/>
        <v>Ap Frequencia</v>
      </c>
      <c r="K9" t="str">
        <f t="shared" si="3"/>
        <v>Aprovado</v>
      </c>
    </row>
    <row r="10" spans="1:11" x14ac:dyDescent="0.3">
      <c r="A10">
        <v>8</v>
      </c>
      <c r="B10" t="s">
        <v>167</v>
      </c>
      <c r="C10">
        <v>7.9</v>
      </c>
      <c r="D10">
        <v>8.1</v>
      </c>
      <c r="E10">
        <v>6.2</v>
      </c>
      <c r="F10">
        <v>5.0999999999999996</v>
      </c>
      <c r="G10" s="104">
        <f t="shared" si="0"/>
        <v>6.8249999999999993</v>
      </c>
      <c r="H10" s="105">
        <v>0.75</v>
      </c>
      <c r="I10" s="36" t="str">
        <f t="shared" si="1"/>
        <v>Rep</v>
      </c>
      <c r="J10" t="str">
        <f t="shared" si="2"/>
        <v>Ap Frequencia</v>
      </c>
      <c r="K10" t="str">
        <f t="shared" si="3"/>
        <v>Reprovador Nota</v>
      </c>
    </row>
    <row r="11" spans="1:11" x14ac:dyDescent="0.3">
      <c r="A11">
        <v>9</v>
      </c>
      <c r="B11" t="s">
        <v>168</v>
      </c>
      <c r="C11">
        <v>5.9</v>
      </c>
      <c r="D11">
        <v>6.1</v>
      </c>
      <c r="E11">
        <v>7.2</v>
      </c>
      <c r="F11">
        <v>7.3</v>
      </c>
      <c r="G11" s="104">
        <f t="shared" si="0"/>
        <v>6.625</v>
      </c>
      <c r="H11" s="105">
        <v>0.75</v>
      </c>
      <c r="I11" s="36" t="str">
        <f t="shared" si="1"/>
        <v>Rep</v>
      </c>
      <c r="J11" t="str">
        <f t="shared" si="2"/>
        <v>Ap Frequencia</v>
      </c>
      <c r="K11" t="str">
        <f t="shared" si="3"/>
        <v>Reprovador Nota</v>
      </c>
    </row>
    <row r="12" spans="1:11" x14ac:dyDescent="0.3">
      <c r="A12">
        <v>10</v>
      </c>
      <c r="B12" t="s">
        <v>169</v>
      </c>
      <c r="C12">
        <v>4.9000000000000004</v>
      </c>
      <c r="D12">
        <v>5.4</v>
      </c>
      <c r="E12">
        <v>5</v>
      </c>
      <c r="F12">
        <v>5.5</v>
      </c>
      <c r="G12" s="104">
        <f t="shared" si="0"/>
        <v>5.2</v>
      </c>
      <c r="H12" s="105">
        <v>0.75</v>
      </c>
      <c r="I12" s="36" t="str">
        <f t="shared" si="1"/>
        <v>Rep</v>
      </c>
      <c r="J12" t="str">
        <f t="shared" si="2"/>
        <v>Ap Frequencia</v>
      </c>
      <c r="K12" t="str">
        <f t="shared" si="3"/>
        <v>Reprovador Nota</v>
      </c>
    </row>
    <row r="13" spans="1:11" x14ac:dyDescent="0.3">
      <c r="A13">
        <v>11</v>
      </c>
      <c r="B13" t="s">
        <v>170</v>
      </c>
      <c r="C13">
        <v>3.9</v>
      </c>
      <c r="D13">
        <v>3.1</v>
      </c>
      <c r="E13">
        <v>3.5</v>
      </c>
      <c r="F13">
        <v>3.9</v>
      </c>
      <c r="G13" s="104">
        <f t="shared" si="0"/>
        <v>3.6</v>
      </c>
      <c r="H13" s="105">
        <v>0.75</v>
      </c>
      <c r="I13" s="36" t="str">
        <f t="shared" si="1"/>
        <v>Rep</v>
      </c>
      <c r="J13" t="str">
        <f t="shared" si="2"/>
        <v>Ap Frequencia</v>
      </c>
      <c r="K13" t="str">
        <f t="shared" si="3"/>
        <v>Reprovador Nota</v>
      </c>
    </row>
    <row r="15" spans="1:11" x14ac:dyDescent="0.3">
      <c r="B15" t="s">
        <v>175</v>
      </c>
    </row>
    <row r="16" spans="1:11" x14ac:dyDescent="0.3">
      <c r="B16" t="s">
        <v>173</v>
      </c>
    </row>
    <row r="17" spans="1:2" x14ac:dyDescent="0.3">
      <c r="B17" t="s">
        <v>174</v>
      </c>
    </row>
    <row r="20" spans="1:2" x14ac:dyDescent="0.3">
      <c r="A20" t="s">
        <v>171</v>
      </c>
    </row>
    <row r="21" spans="1:2" x14ac:dyDescent="0.3">
      <c r="A21" t="s">
        <v>172</v>
      </c>
    </row>
    <row r="22" spans="1:2" x14ac:dyDescent="0.3">
      <c r="A22" t="s">
        <v>176</v>
      </c>
    </row>
    <row r="23" spans="1:2" x14ac:dyDescent="0.3">
      <c r="A23" t="s">
        <v>177</v>
      </c>
    </row>
    <row r="24" spans="1:2" x14ac:dyDescent="0.3">
      <c r="A24" t="s">
        <v>315</v>
      </c>
    </row>
  </sheetData>
  <conditionalFormatting sqref="I3:I13">
    <cfRule type="cellIs" dxfId="1" priority="1" operator="equal">
      <formula>"Rep"</formula>
    </cfRule>
    <cfRule type="cellIs" dxfId="0" priority="2" operator="equal">
      <formula>"AP"</formula>
    </cfRule>
  </conditionalFormatting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AAF04-7448-4977-B1EA-2F2D1EB7E070}">
  <dimension ref="A1:D26"/>
  <sheetViews>
    <sheetView zoomScale="115" zoomScaleNormal="115" workbookViewId="0">
      <selection activeCell="A24" sqref="A24"/>
    </sheetView>
  </sheetViews>
  <sheetFormatPr defaultRowHeight="14.4" x14ac:dyDescent="0.3"/>
  <cols>
    <col min="2" max="2" width="11" customWidth="1"/>
    <col min="3" max="3" width="9.109375" customWidth="1"/>
    <col min="4" max="4" width="14.6640625" customWidth="1"/>
  </cols>
  <sheetData>
    <row r="1" spans="1:4" ht="18" x14ac:dyDescent="0.35">
      <c r="A1" s="93" t="s">
        <v>178</v>
      </c>
      <c r="B1" s="94"/>
      <c r="C1" s="94"/>
      <c r="D1" s="95"/>
    </row>
    <row r="2" spans="1:4" ht="15.6" x14ac:dyDescent="0.3">
      <c r="A2" s="38"/>
      <c r="B2" s="38"/>
      <c r="C2" s="38"/>
      <c r="D2" s="38"/>
    </row>
    <row r="3" spans="1:4" ht="15.6" x14ac:dyDescent="0.3">
      <c r="A3" s="39" t="s">
        <v>179</v>
      </c>
      <c r="B3" s="39" t="s">
        <v>180</v>
      </c>
      <c r="C3" s="39" t="s">
        <v>181</v>
      </c>
      <c r="D3" s="39" t="s">
        <v>182</v>
      </c>
    </row>
    <row r="4" spans="1:4" ht="15.6" x14ac:dyDescent="0.3">
      <c r="A4" s="40" t="s">
        <v>183</v>
      </c>
      <c r="B4" s="40" t="s">
        <v>184</v>
      </c>
      <c r="C4" s="42" t="s">
        <v>185</v>
      </c>
      <c r="D4" s="41">
        <v>29640</v>
      </c>
    </row>
    <row r="5" spans="1:4" ht="15.6" x14ac:dyDescent="0.3">
      <c r="A5" s="40" t="s">
        <v>186</v>
      </c>
      <c r="B5" s="40" t="s">
        <v>187</v>
      </c>
      <c r="C5" s="42" t="s">
        <v>185</v>
      </c>
      <c r="D5" s="41">
        <v>38232</v>
      </c>
    </row>
    <row r="6" spans="1:4" ht="15.6" x14ac:dyDescent="0.3">
      <c r="A6" s="40" t="s">
        <v>188</v>
      </c>
      <c r="B6" s="40" t="s">
        <v>189</v>
      </c>
      <c r="C6" s="42" t="s">
        <v>185</v>
      </c>
      <c r="D6" s="41">
        <v>15408</v>
      </c>
    </row>
    <row r="7" spans="1:4" ht="15.6" x14ac:dyDescent="0.3">
      <c r="A7" s="40" t="s">
        <v>190</v>
      </c>
      <c r="B7" s="40" t="s">
        <v>191</v>
      </c>
      <c r="C7" s="42" t="s">
        <v>192</v>
      </c>
      <c r="D7" s="41">
        <v>17385</v>
      </c>
    </row>
    <row r="8" spans="1:4" ht="15.6" x14ac:dyDescent="0.3">
      <c r="A8" s="40" t="s">
        <v>193</v>
      </c>
      <c r="B8" s="40" t="s">
        <v>184</v>
      </c>
      <c r="C8" s="42" t="s">
        <v>192</v>
      </c>
      <c r="D8" s="41">
        <v>30305</v>
      </c>
    </row>
    <row r="9" spans="1:4" ht="15.6" x14ac:dyDescent="0.3">
      <c r="A9" s="40" t="s">
        <v>194</v>
      </c>
      <c r="B9" s="40" t="s">
        <v>189</v>
      </c>
      <c r="C9" s="42" t="s">
        <v>192</v>
      </c>
      <c r="D9" s="41">
        <v>15475</v>
      </c>
    </row>
    <row r="10" spans="1:4" ht="15.6" x14ac:dyDescent="0.3">
      <c r="A10" s="40" t="s">
        <v>195</v>
      </c>
      <c r="B10" s="40" t="s">
        <v>191</v>
      </c>
      <c r="C10" s="42" t="s">
        <v>196</v>
      </c>
      <c r="D10" s="41">
        <v>16954</v>
      </c>
    </row>
    <row r="11" spans="1:4" ht="15.6" x14ac:dyDescent="0.3">
      <c r="A11" s="40" t="s">
        <v>197</v>
      </c>
      <c r="B11" s="40" t="s">
        <v>189</v>
      </c>
      <c r="C11" s="42" t="s">
        <v>198</v>
      </c>
      <c r="D11" s="41">
        <v>15287</v>
      </c>
    </row>
    <row r="12" spans="1:4" ht="15.6" x14ac:dyDescent="0.3">
      <c r="A12" s="40" t="s">
        <v>199</v>
      </c>
      <c r="B12" s="40" t="s">
        <v>189</v>
      </c>
      <c r="C12" s="42" t="s">
        <v>192</v>
      </c>
      <c r="D12" s="41">
        <v>14960</v>
      </c>
    </row>
    <row r="13" spans="1:4" ht="15.6" x14ac:dyDescent="0.3">
      <c r="A13" s="40" t="s">
        <v>200</v>
      </c>
      <c r="B13" s="40" t="s">
        <v>191</v>
      </c>
      <c r="C13" s="42" t="s">
        <v>198</v>
      </c>
      <c r="D13" s="41">
        <v>19900</v>
      </c>
    </row>
    <row r="14" spans="1:4" ht="15.6" x14ac:dyDescent="0.3">
      <c r="A14" s="40" t="s">
        <v>201</v>
      </c>
      <c r="B14" s="40" t="s">
        <v>184</v>
      </c>
      <c r="C14" s="42" t="s">
        <v>196</v>
      </c>
      <c r="D14" s="41">
        <v>40507</v>
      </c>
    </row>
    <row r="15" spans="1:4" ht="15.6" x14ac:dyDescent="0.3">
      <c r="A15" s="40" t="s">
        <v>202</v>
      </c>
      <c r="B15" s="40" t="s">
        <v>203</v>
      </c>
      <c r="C15" s="42" t="s">
        <v>196</v>
      </c>
      <c r="D15" s="41">
        <v>42967</v>
      </c>
    </row>
    <row r="16" spans="1:4" ht="15.6" x14ac:dyDescent="0.3">
      <c r="A16" s="40" t="s">
        <v>204</v>
      </c>
      <c r="B16" s="40" t="s">
        <v>189</v>
      </c>
      <c r="C16" s="42" t="s">
        <v>196</v>
      </c>
      <c r="D16" s="41">
        <v>14490</v>
      </c>
    </row>
    <row r="17" spans="1:4" ht="15.6" x14ac:dyDescent="0.3">
      <c r="A17" s="40" t="s">
        <v>205</v>
      </c>
      <c r="B17" s="40" t="s">
        <v>203</v>
      </c>
      <c r="C17" s="42" t="s">
        <v>198</v>
      </c>
      <c r="D17" s="41">
        <v>27459</v>
      </c>
    </row>
    <row r="18" spans="1:4" ht="15.6" x14ac:dyDescent="0.3">
      <c r="A18" s="40" t="s">
        <v>206</v>
      </c>
      <c r="B18" s="40" t="s">
        <v>187</v>
      </c>
      <c r="C18" s="42" t="s">
        <v>192</v>
      </c>
      <c r="D18" s="41">
        <v>35170</v>
      </c>
    </row>
    <row r="19" spans="1:4" ht="15.6" x14ac:dyDescent="0.3">
      <c r="A19" s="40" t="s">
        <v>207</v>
      </c>
      <c r="B19" s="40" t="s">
        <v>187</v>
      </c>
      <c r="C19" s="42" t="s">
        <v>185</v>
      </c>
      <c r="D19" s="41">
        <v>24296</v>
      </c>
    </row>
    <row r="20" spans="1:4" ht="15.6" x14ac:dyDescent="0.3">
      <c r="A20" s="40" t="s">
        <v>208</v>
      </c>
      <c r="B20" s="40" t="s">
        <v>184</v>
      </c>
      <c r="C20" s="42" t="s">
        <v>185</v>
      </c>
      <c r="D20" s="41">
        <v>40709</v>
      </c>
    </row>
    <row r="21" spans="1:4" ht="15.6" x14ac:dyDescent="0.3">
      <c r="A21" s="38"/>
      <c r="B21" s="38"/>
      <c r="C21" s="43"/>
      <c r="D21" s="44"/>
    </row>
    <row r="22" spans="1:4" ht="15.6" x14ac:dyDescent="0.3">
      <c r="A22" s="38" t="s">
        <v>209</v>
      </c>
      <c r="B22" s="38"/>
      <c r="C22" s="43"/>
      <c r="D22" s="44"/>
    </row>
    <row r="23" spans="1:4" ht="15.6" x14ac:dyDescent="0.3">
      <c r="A23" s="38" t="s">
        <v>210</v>
      </c>
      <c r="B23" s="38"/>
      <c r="C23" s="43"/>
      <c r="D23" s="44"/>
    </row>
    <row r="24" spans="1:4" ht="15.6" x14ac:dyDescent="0.3">
      <c r="A24" s="38"/>
      <c r="B24" s="38"/>
      <c r="C24" s="43"/>
      <c r="D24" s="44"/>
    </row>
    <row r="25" spans="1:4" ht="15.6" x14ac:dyDescent="0.3">
      <c r="A25" s="38"/>
      <c r="B25" s="38"/>
      <c r="C25" s="43"/>
      <c r="D25" s="44"/>
    </row>
    <row r="26" spans="1:4" ht="15.6" x14ac:dyDescent="0.3">
      <c r="B26" s="38"/>
      <c r="C26" s="43"/>
      <c r="D26" s="44"/>
    </row>
  </sheetData>
  <mergeCells count="1">
    <mergeCell ref="A1:D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61672-F838-4E69-B69A-45986742843D}">
  <dimension ref="A2:J20"/>
  <sheetViews>
    <sheetView zoomScale="145" zoomScaleNormal="145" workbookViewId="0">
      <selection activeCell="I10" sqref="I10"/>
    </sheetView>
  </sheetViews>
  <sheetFormatPr defaultRowHeight="14.4" x14ac:dyDescent="0.3"/>
  <cols>
    <col min="9" max="9" width="29" customWidth="1"/>
  </cols>
  <sheetData>
    <row r="2" spans="1:10" x14ac:dyDescent="0.3">
      <c r="A2" s="96" t="s">
        <v>298</v>
      </c>
      <c r="B2" s="96"/>
      <c r="C2" s="96"/>
      <c r="D2" s="96"/>
      <c r="E2" s="96"/>
      <c r="F2" s="96"/>
      <c r="G2" s="96"/>
      <c r="I2" s="97" t="s">
        <v>268</v>
      </c>
      <c r="J2" s="97"/>
    </row>
    <row r="3" spans="1:10" x14ac:dyDescent="0.3">
      <c r="I3" s="58" t="s">
        <v>269</v>
      </c>
      <c r="J3" s="59">
        <v>0.05</v>
      </c>
    </row>
    <row r="4" spans="1:10" x14ac:dyDescent="0.3">
      <c r="A4" t="s">
        <v>270</v>
      </c>
      <c r="B4" t="s">
        <v>271</v>
      </c>
      <c r="C4" t="s">
        <v>109</v>
      </c>
      <c r="D4" t="s">
        <v>106</v>
      </c>
      <c r="E4" t="s">
        <v>272</v>
      </c>
      <c r="F4" t="s">
        <v>159</v>
      </c>
      <c r="G4" t="s">
        <v>273</v>
      </c>
      <c r="I4" s="58" t="s">
        <v>274</v>
      </c>
      <c r="J4" s="59">
        <v>0.1</v>
      </c>
    </row>
    <row r="5" spans="1:10" x14ac:dyDescent="0.3">
      <c r="A5" t="s">
        <v>275</v>
      </c>
      <c r="B5" t="s">
        <v>276</v>
      </c>
      <c r="C5" s="57">
        <v>4590</v>
      </c>
      <c r="D5" s="57">
        <v>800</v>
      </c>
      <c r="E5" s="57">
        <v>790</v>
      </c>
      <c r="F5" s="56"/>
      <c r="G5" s="56"/>
      <c r="I5" s="58" t="s">
        <v>277</v>
      </c>
      <c r="J5" s="59">
        <v>0.2</v>
      </c>
    </row>
    <row r="6" spans="1:10" x14ac:dyDescent="0.3">
      <c r="A6" t="s">
        <v>278</v>
      </c>
      <c r="B6" t="s">
        <v>279</v>
      </c>
      <c r="C6" s="57">
        <v>980</v>
      </c>
      <c r="D6" s="57">
        <v>1300</v>
      </c>
      <c r="E6" s="57">
        <v>300</v>
      </c>
      <c r="F6" s="56"/>
      <c r="G6" s="56"/>
    </row>
    <row r="7" spans="1:10" x14ac:dyDescent="0.3">
      <c r="A7" t="s">
        <v>280</v>
      </c>
      <c r="B7" t="s">
        <v>281</v>
      </c>
      <c r="C7" s="57">
        <v>350</v>
      </c>
      <c r="D7" s="57">
        <v>1100</v>
      </c>
      <c r="E7" s="57">
        <v>1000</v>
      </c>
      <c r="F7" s="56"/>
      <c r="G7" s="56"/>
    </row>
    <row r="8" spans="1:10" x14ac:dyDescent="0.3">
      <c r="A8" t="s">
        <v>282</v>
      </c>
      <c r="B8" t="s">
        <v>283</v>
      </c>
      <c r="C8" s="57">
        <v>900</v>
      </c>
      <c r="D8" s="57">
        <v>560</v>
      </c>
      <c r="E8" s="57">
        <v>980</v>
      </c>
      <c r="F8" s="56"/>
      <c r="G8" s="56"/>
    </row>
    <row r="9" spans="1:10" x14ac:dyDescent="0.3">
      <c r="A9" t="s">
        <v>284</v>
      </c>
      <c r="B9" t="s">
        <v>285</v>
      </c>
      <c r="C9" s="57">
        <v>1700</v>
      </c>
      <c r="D9" s="57">
        <v>300</v>
      </c>
      <c r="E9" s="57">
        <v>200</v>
      </c>
      <c r="F9" s="56"/>
      <c r="G9" s="56"/>
    </row>
    <row r="10" spans="1:10" x14ac:dyDescent="0.3">
      <c r="A10" t="s">
        <v>286</v>
      </c>
      <c r="B10" t="s">
        <v>287</v>
      </c>
      <c r="C10" s="57">
        <v>1100</v>
      </c>
      <c r="D10" s="57">
        <v>458</v>
      </c>
      <c r="E10" s="57">
        <v>580</v>
      </c>
      <c r="F10" s="56"/>
      <c r="G10" s="56"/>
    </row>
    <row r="11" spans="1:10" x14ac:dyDescent="0.3">
      <c r="A11" t="s">
        <v>288</v>
      </c>
      <c r="B11" t="s">
        <v>289</v>
      </c>
      <c r="C11" s="57">
        <v>500</v>
      </c>
      <c r="D11" s="57">
        <v>900</v>
      </c>
      <c r="E11" s="57">
        <v>359</v>
      </c>
      <c r="F11" s="56"/>
      <c r="G11" s="56"/>
    </row>
    <row r="12" spans="1:10" x14ac:dyDescent="0.3">
      <c r="A12" t="s">
        <v>290</v>
      </c>
      <c r="B12" t="s">
        <v>291</v>
      </c>
      <c r="C12" s="57">
        <v>550</v>
      </c>
      <c r="D12" s="57">
        <v>600</v>
      </c>
      <c r="E12" s="57">
        <v>500</v>
      </c>
      <c r="F12" s="56"/>
      <c r="G12" s="56"/>
    </row>
    <row r="13" spans="1:10" x14ac:dyDescent="0.3">
      <c r="A13" t="s">
        <v>292</v>
      </c>
      <c r="B13" t="s">
        <v>293</v>
      </c>
      <c r="C13" s="57">
        <v>450</v>
      </c>
      <c r="D13" s="57">
        <v>1000</v>
      </c>
      <c r="E13" s="57">
        <v>200</v>
      </c>
      <c r="F13" s="56"/>
      <c r="G13" s="56"/>
    </row>
    <row r="14" spans="1:10" ht="15" thickBot="1" x14ac:dyDescent="0.35">
      <c r="A14" s="55"/>
      <c r="B14" s="54" t="s">
        <v>62</v>
      </c>
      <c r="C14" s="53"/>
      <c r="D14" s="53"/>
      <c r="E14" s="53"/>
      <c r="F14" s="53"/>
      <c r="G14" s="53"/>
    </row>
    <row r="17" spans="1:1" x14ac:dyDescent="0.3">
      <c r="A17" t="s">
        <v>294</v>
      </c>
    </row>
    <row r="18" spans="1:1" x14ac:dyDescent="0.3">
      <c r="A18" t="s">
        <v>295</v>
      </c>
    </row>
    <row r="19" spans="1:1" x14ac:dyDescent="0.3">
      <c r="A19" t="s">
        <v>296</v>
      </c>
    </row>
    <row r="20" spans="1:1" x14ac:dyDescent="0.3">
      <c r="A20" t="s">
        <v>297</v>
      </c>
    </row>
  </sheetData>
  <mergeCells count="2">
    <mergeCell ref="A2:G2"/>
    <mergeCell ref="I2:J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CA49-CC26-4FD4-8136-940261B45EFC}">
  <dimension ref="A1:J9"/>
  <sheetViews>
    <sheetView tabSelected="1" topLeftCell="B1" zoomScale="250" zoomScaleNormal="250" workbookViewId="0">
      <selection activeCell="F3" sqref="F3"/>
    </sheetView>
  </sheetViews>
  <sheetFormatPr defaultRowHeight="14.4" x14ac:dyDescent="0.3"/>
  <cols>
    <col min="1" max="1" width="24.5546875" customWidth="1"/>
    <col min="2" max="2" width="12.109375" bestFit="1" customWidth="1"/>
    <col min="3" max="3" width="9.33203125" bestFit="1" customWidth="1"/>
    <col min="4" max="4" width="12.109375" bestFit="1" customWidth="1"/>
    <col min="5" max="5" width="5.44140625" bestFit="1" customWidth="1"/>
    <col min="6" max="6" width="15.88671875" bestFit="1" customWidth="1"/>
    <col min="9" max="9" width="18.6640625" bestFit="1" customWidth="1"/>
  </cols>
  <sheetData>
    <row r="1" spans="1:10" x14ac:dyDescent="0.3">
      <c r="A1" s="52" t="s">
        <v>300</v>
      </c>
      <c r="B1" s="52" t="s">
        <v>301</v>
      </c>
      <c r="C1" s="52" t="s">
        <v>302</v>
      </c>
      <c r="D1" s="52" t="s">
        <v>303</v>
      </c>
      <c r="F1" s="52" t="s">
        <v>301</v>
      </c>
      <c r="G1" s="52" t="s">
        <v>302</v>
      </c>
    </row>
    <row r="2" spans="1:10" x14ac:dyDescent="0.3">
      <c r="A2" s="2" t="s">
        <v>304</v>
      </c>
      <c r="B2" s="61">
        <v>900</v>
      </c>
      <c r="C2" s="61"/>
      <c r="D2" s="62"/>
      <c r="F2" s="2" t="s">
        <v>360</v>
      </c>
      <c r="G2" s="60">
        <v>0.4</v>
      </c>
    </row>
    <row r="3" spans="1:10" x14ac:dyDescent="0.3">
      <c r="A3" s="2" t="s">
        <v>305</v>
      </c>
      <c r="B3" s="61">
        <v>1200</v>
      </c>
      <c r="C3" s="61"/>
      <c r="D3" s="62"/>
      <c r="F3" s="2" t="s">
        <v>306</v>
      </c>
      <c r="G3" s="60">
        <v>0.3</v>
      </c>
    </row>
    <row r="4" spans="1:10" x14ac:dyDescent="0.3">
      <c r="A4" s="2" t="s">
        <v>307</v>
      </c>
      <c r="B4" s="61">
        <v>1500</v>
      </c>
      <c r="C4" s="61"/>
      <c r="D4" s="62"/>
    </row>
    <row r="5" spans="1:10" x14ac:dyDescent="0.3">
      <c r="A5" s="2" t="s">
        <v>308</v>
      </c>
      <c r="B5" s="61">
        <v>2000</v>
      </c>
      <c r="C5" s="61"/>
      <c r="D5" s="62"/>
      <c r="F5" s="98" t="s">
        <v>309</v>
      </c>
      <c r="G5" s="99"/>
      <c r="H5" s="99"/>
      <c r="I5" s="99"/>
      <c r="J5" s="100"/>
    </row>
    <row r="6" spans="1:10" x14ac:dyDescent="0.3">
      <c r="A6" s="2" t="s">
        <v>310</v>
      </c>
      <c r="B6" s="61">
        <v>1400</v>
      </c>
      <c r="C6" s="61"/>
      <c r="D6" s="62"/>
      <c r="F6" s="101" t="s">
        <v>311</v>
      </c>
      <c r="G6" s="102"/>
      <c r="H6" s="102"/>
      <c r="I6" s="102"/>
      <c r="J6" s="103"/>
    </row>
    <row r="7" spans="1:10" x14ac:dyDescent="0.3">
      <c r="A7" s="2" t="s">
        <v>312</v>
      </c>
      <c r="B7" s="61">
        <v>990</v>
      </c>
      <c r="C7" s="61"/>
      <c r="D7" s="62"/>
    </row>
    <row r="8" spans="1:10" x14ac:dyDescent="0.3">
      <c r="A8" s="2" t="s">
        <v>313</v>
      </c>
      <c r="B8" s="61">
        <v>854</v>
      </c>
      <c r="C8" s="61"/>
      <c r="D8" s="62"/>
    </row>
    <row r="9" spans="1:10" x14ac:dyDescent="0.3">
      <c r="A9" s="2" t="s">
        <v>314</v>
      </c>
      <c r="B9" s="61">
        <v>1100</v>
      </c>
      <c r="C9" s="61"/>
      <c r="D9" s="62"/>
    </row>
  </sheetData>
  <mergeCells count="2">
    <mergeCell ref="F5:J5"/>
    <mergeCell ref="F6:J6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Funcionalidades Básicas</vt:lpstr>
      <vt:lpstr>Funcionalidade Básica II</vt:lpstr>
      <vt:lpstr>Exercício 1</vt:lpstr>
      <vt:lpstr>Exercício 2</vt:lpstr>
      <vt:lpstr>Exercício 3</vt:lpstr>
      <vt:lpstr>Exercício 4</vt:lpstr>
      <vt:lpstr>Exercício 5</vt:lpstr>
      <vt:lpstr>Exercícios 6</vt:lpstr>
      <vt:lpstr>Exercícios 7</vt:lpstr>
      <vt:lpstr>Exercício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Vinicius</dc:creator>
  <cp:lastModifiedBy>Vinícius Tessele</cp:lastModifiedBy>
  <dcterms:created xsi:type="dcterms:W3CDTF">2022-10-14T17:56:47Z</dcterms:created>
  <dcterms:modified xsi:type="dcterms:W3CDTF">2025-07-15T20:08:59Z</dcterms:modified>
</cp:coreProperties>
</file>