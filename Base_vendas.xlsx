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dison Nascimento\Box\06. Youtube\1. Vídeos\2023\05. Maio\17. Boas práticas no uso do Excel\"/>
    </mc:Choice>
  </mc:AlternateContent>
  <xr:revisionPtr revIDLastSave="0" documentId="8_{692AAAAE-8652-416C-839B-A671C18739F2}" xr6:coauthVersionLast="47" xr6:coauthVersionMax="47" xr10:uidLastSave="{00000000-0000-0000-0000-000000000000}"/>
  <bookViews>
    <workbookView xWindow="20370" yWindow="-120" windowWidth="29040" windowHeight="16440" activeTab="4" xr2:uid="{B0F7E51F-1A65-4A64-BA50-55A852B57578}"/>
  </bookViews>
  <sheets>
    <sheet name="Vertical x Horizontal" sheetId="1" r:id="rId1"/>
    <sheet name="Formatação condicional" sheetId="2" r:id="rId2"/>
    <sheet name="Tabela" sheetId="3" r:id="rId3"/>
    <sheet name="Fórmulas Gigantes" sheetId="4" r:id="rId4"/>
    <sheet name="Validação de dados" sheetId="5" r:id="rId5"/>
  </sheets>
  <definedNames>
    <definedName name="_xlnm._FilterDatabase" localSheetId="1" hidden="1">'Formatação condicional'!$B$2:$I$43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5" l="1"/>
  <c r="P3" i="4" a="1"/>
  <c r="P3" i="4" s="1"/>
  <c r="N4" i="3"/>
  <c r="J25" i="3"/>
  <c r="K25" i="3" s="1"/>
  <c r="J24" i="3"/>
  <c r="K24" i="3" s="1"/>
  <c r="J4" i="3"/>
  <c r="K4" i="3" s="1"/>
  <c r="J5" i="3"/>
  <c r="K5" i="3" s="1"/>
  <c r="J6" i="3"/>
  <c r="K6" i="3" s="1"/>
  <c r="J7" i="3"/>
  <c r="K7" i="3" s="1"/>
  <c r="J8" i="3"/>
  <c r="K8" i="3" s="1"/>
  <c r="J9" i="3"/>
  <c r="K9" i="3" s="1"/>
  <c r="J10" i="3"/>
  <c r="K10" i="3" s="1"/>
  <c r="J11" i="3"/>
  <c r="K11" i="3" s="1"/>
  <c r="J12" i="3"/>
  <c r="K12" i="3" s="1"/>
  <c r="J13" i="3"/>
  <c r="K13" i="3" s="1"/>
  <c r="J14" i="3"/>
  <c r="K14" i="3" s="1"/>
  <c r="J15" i="3"/>
  <c r="K15" i="3" s="1"/>
  <c r="J16" i="3"/>
  <c r="K16" i="3" s="1"/>
  <c r="J17" i="3"/>
  <c r="K17" i="3" s="1"/>
  <c r="J18" i="3"/>
  <c r="K18" i="3" s="1"/>
  <c r="J19" i="3"/>
  <c r="K19" i="3" s="1"/>
  <c r="J20" i="3"/>
  <c r="K20" i="3" s="1"/>
  <c r="J21" i="3"/>
  <c r="K21" i="3" s="1"/>
  <c r="J22" i="3"/>
  <c r="K22" i="3" s="1"/>
  <c r="J23" i="3"/>
  <c r="K23" i="3" s="1"/>
  <c r="J3" i="3"/>
  <c r="K3" i="3" s="1"/>
  <c r="M4" i="5"/>
  <c r="O4" i="5" s="1"/>
  <c r="M5" i="5"/>
  <c r="O5" i="5" s="1"/>
  <c r="M6" i="5"/>
  <c r="O6" i="5" s="1"/>
  <c r="M7" i="5"/>
  <c r="O7" i="5" s="1"/>
  <c r="M8" i="5"/>
  <c r="O8" i="5" s="1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M3" i="5" s="1"/>
  <c r="O3" i="5" s="1"/>
  <c r="K7" i="4"/>
  <c r="K12" i="4"/>
  <c r="K14" i="4"/>
  <c r="K15" i="4"/>
  <c r="K16" i="4"/>
  <c r="K19" i="4"/>
  <c r="K20" i="4"/>
  <c r="K21" i="4"/>
  <c r="K23" i="4"/>
  <c r="K24" i="4"/>
  <c r="K27" i="4"/>
  <c r="K30" i="4"/>
  <c r="K31" i="4"/>
  <c r="K35" i="4"/>
  <c r="K36" i="4"/>
  <c r="K39" i="4"/>
  <c r="K40" i="4"/>
  <c r="K42" i="4"/>
  <c r="K43" i="4"/>
  <c r="K4" i="4"/>
  <c r="K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3" i="4"/>
  <c r="N4" i="4" l="1"/>
  <c r="N3" i="4"/>
  <c r="K5" i="4"/>
  <c r="K6" i="4" l="1"/>
  <c r="N5" i="4"/>
  <c r="K8" i="4"/>
  <c r="N6" i="4" l="1"/>
  <c r="N7" i="4"/>
  <c r="K9" i="4"/>
  <c r="N8" i="4" l="1"/>
  <c r="K10" i="4"/>
  <c r="K11" i="4" s="1"/>
  <c r="K13" i="4" s="1"/>
  <c r="N10" i="4" l="1"/>
  <c r="N9" i="4"/>
  <c r="N11" i="4"/>
  <c r="K17" i="4"/>
  <c r="K18" i="4" l="1"/>
  <c r="K22" i="4" s="1"/>
  <c r="K25" i="4" s="1"/>
  <c r="K26" i="4" s="1"/>
  <c r="K28" i="4" s="1"/>
  <c r="K29" i="4" s="1"/>
  <c r="K32" i="4" s="1"/>
  <c r="K33" i="4" s="1"/>
  <c r="K34" i="4" s="1"/>
  <c r="K37" i="4" s="1"/>
  <c r="K38" i="4" s="1"/>
  <c r="K41" i="4" s="1"/>
  <c r="N27" i="4" s="1"/>
  <c r="N13" i="4" l="1"/>
  <c r="N15" i="4"/>
  <c r="N29" i="4"/>
  <c r="N21" i="4"/>
  <c r="N14" i="4"/>
  <c r="N22" i="4"/>
  <c r="N23" i="4"/>
  <c r="N17" i="4"/>
  <c r="N24" i="4"/>
  <c r="N31" i="4"/>
  <c r="N30" i="4"/>
  <c r="N25" i="4"/>
  <c r="N28" i="4"/>
  <c r="N12" i="4"/>
  <c r="N18" i="4"/>
  <c r="N32" i="4"/>
  <c r="N19" i="4"/>
  <c r="N16" i="4"/>
  <c r="N26" i="4"/>
  <c r="N2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<sst xmlns="http://schemas.openxmlformats.org/spreadsheetml/2006/main" count="752" uniqueCount="122">
  <si>
    <t>Cód</t>
  </si>
  <si>
    <t>Data</t>
  </si>
  <si>
    <t>Nota Fiscal</t>
  </si>
  <si>
    <t>Vendedor</t>
  </si>
  <si>
    <t>Cliente</t>
  </si>
  <si>
    <t>Produto</t>
  </si>
  <si>
    <t>Região</t>
  </si>
  <si>
    <t>VND 0001</t>
  </si>
  <si>
    <t>Lorena Sousa</t>
  </si>
  <si>
    <t>Samuel Costa</t>
  </si>
  <si>
    <t>Cadeira infantil</t>
  </si>
  <si>
    <t>Centro-Oeste</t>
  </si>
  <si>
    <t>VND 0002</t>
  </si>
  <si>
    <t>Laura Marinho</t>
  </si>
  <si>
    <t>Maria Júlia Marinho</t>
  </si>
  <si>
    <t>Huawei Nova 5t</t>
  </si>
  <si>
    <t>Nordeste</t>
  </si>
  <si>
    <t>VND 0003</t>
  </si>
  <si>
    <t>Heitor Nascimento</t>
  </si>
  <si>
    <t>Conjunto Pijama De Frio</t>
  </si>
  <si>
    <t>Sudeste</t>
  </si>
  <si>
    <t>VND 0004</t>
  </si>
  <si>
    <t>Laura de Sousa</t>
  </si>
  <si>
    <t>Isadora Oliveira</t>
  </si>
  <si>
    <t xml:space="preserve">Geladeira frost free inox com freezer 410L </t>
  </si>
  <si>
    <t>Norte</t>
  </si>
  <si>
    <t>VND 0005</t>
  </si>
  <si>
    <t>Camiseta Masculina</t>
  </si>
  <si>
    <t>VND 0006</t>
  </si>
  <si>
    <t>Heitor Marinho</t>
  </si>
  <si>
    <t>João Miguel Marinho</t>
  </si>
  <si>
    <t>Sul</t>
  </si>
  <si>
    <t>VND 0007</t>
  </si>
  <si>
    <t>Rafael Safra</t>
  </si>
  <si>
    <t xml:space="preserve">Samsung Galaxy A52s 5G </t>
  </si>
  <si>
    <t>VND 0008</t>
  </si>
  <si>
    <t>Valentina de Oliveira</t>
  </si>
  <si>
    <t>Heitor de Almeida</t>
  </si>
  <si>
    <t xml:space="preserve">Camiseta Ajuda Perder Barriga </t>
  </si>
  <si>
    <t>VND 0009</t>
  </si>
  <si>
    <t>Cecília Ribeiro</t>
  </si>
  <si>
    <t>Moto G7 Power Dual</t>
  </si>
  <si>
    <t>Valor 
Total</t>
  </si>
  <si>
    <t>VND 00010</t>
  </si>
  <si>
    <t>VND 00011</t>
  </si>
  <si>
    <t>Valentina Pereira</t>
  </si>
  <si>
    <t>Davi Lima</t>
  </si>
  <si>
    <t>Moto G9 Play</t>
  </si>
  <si>
    <t>VND 00012</t>
  </si>
  <si>
    <t>Asus Zenfone Live L2</t>
  </si>
  <si>
    <t>VND 00013</t>
  </si>
  <si>
    <t>Liquidificador portátil</t>
  </si>
  <si>
    <t>VND 00014</t>
  </si>
  <si>
    <t>VND 00015</t>
  </si>
  <si>
    <t>Maite Lima</t>
  </si>
  <si>
    <t>Huawei Y8p</t>
  </si>
  <si>
    <t>VND 00016</t>
  </si>
  <si>
    <t>Laura Pereira</t>
  </si>
  <si>
    <t xml:space="preserve">Tênis Masculino Salão </t>
  </si>
  <si>
    <t>VND 00017</t>
  </si>
  <si>
    <t>Samsung Galaxy Galaxy M53</t>
  </si>
  <si>
    <t>VND 00018</t>
  </si>
  <si>
    <t>LG K52</t>
  </si>
  <si>
    <t>VND 00019</t>
  </si>
  <si>
    <t>Camisa Praia UV</t>
  </si>
  <si>
    <t>VND 00020</t>
  </si>
  <si>
    <t>Maria Clara Alves</t>
  </si>
  <si>
    <t xml:space="preserve">Roupas Confortáveis Bebê </t>
  </si>
  <si>
    <t>VND 00021</t>
  </si>
  <si>
    <t>Conjunto de biquíni feminino</t>
  </si>
  <si>
    <t>VND 00022</t>
  </si>
  <si>
    <t>VND 00023</t>
  </si>
  <si>
    <t>Anthony de Sousa</t>
  </si>
  <si>
    <t>Jaqueta College Feminina</t>
  </si>
  <si>
    <t>VND 00024</t>
  </si>
  <si>
    <t>Laura Souza</t>
  </si>
  <si>
    <t>Camisa Dry Fit Esportiva</t>
  </si>
  <si>
    <t>VND 00025</t>
  </si>
  <si>
    <t>Saída de praia</t>
  </si>
  <si>
    <t>VND 00026</t>
  </si>
  <si>
    <t>Lorenzo de Oliveira</t>
  </si>
  <si>
    <t>Camisa Sem Mangas</t>
  </si>
  <si>
    <t>VND 00027</t>
  </si>
  <si>
    <t>Gabriel Rodrigues</t>
  </si>
  <si>
    <t>VND 00028</t>
  </si>
  <si>
    <t>VND 00029</t>
  </si>
  <si>
    <t>KIT 5 TOP NADADOR FEMININO</t>
  </si>
  <si>
    <t>VND 00030</t>
  </si>
  <si>
    <t>Henrique Oliveira</t>
  </si>
  <si>
    <t>VND 00031</t>
  </si>
  <si>
    <t>Gabriel Marinho</t>
  </si>
  <si>
    <t>Bermuda Masculino</t>
  </si>
  <si>
    <t>VND 00032</t>
  </si>
  <si>
    <t>Isadora Safra</t>
  </si>
  <si>
    <t>Geladeira frost free</t>
  </si>
  <si>
    <t>VND 00033</t>
  </si>
  <si>
    <t>Termometro Temperatura Máxima</t>
  </si>
  <si>
    <t>VND 00034</t>
  </si>
  <si>
    <t>Camisa Regata Térmica</t>
  </si>
  <si>
    <t>VND 00035</t>
  </si>
  <si>
    <t>Lívia Carvalho</t>
  </si>
  <si>
    <t>Roupa íntima térmica</t>
  </si>
  <si>
    <t>VND 00036</t>
  </si>
  <si>
    <t>Antonella Safra</t>
  </si>
  <si>
    <t>VND 00037</t>
  </si>
  <si>
    <t>Honor 50 Lite</t>
  </si>
  <si>
    <t>VND 00038</t>
  </si>
  <si>
    <t>Asus ZenFone Max Shot</t>
  </si>
  <si>
    <t>VND 00039</t>
  </si>
  <si>
    <t>Laura Carvalho</t>
  </si>
  <si>
    <t>VND 00040</t>
  </si>
  <si>
    <t xml:space="preserve">Camiseta Masculina Preto </t>
  </si>
  <si>
    <t>VND 00041</t>
  </si>
  <si>
    <t>Qtd</t>
  </si>
  <si>
    <t>Valor Unitário</t>
  </si>
  <si>
    <t>Valor Total</t>
  </si>
  <si>
    <t>Únicos</t>
  </si>
  <si>
    <t>Núm</t>
  </si>
  <si>
    <t>Comissão</t>
  </si>
  <si>
    <t>% Comissão</t>
  </si>
  <si>
    <t>Cledison Nascimento</t>
  </si>
  <si>
    <t>Grupo Ninja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</si>
</sst>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\-mm\-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1A7047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theme="0" tint="-0.34998626667073579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9D9D9"/>
      </left>
      <right style="thin">
        <color rgb="FFD9D9D9"/>
      </right>
      <top/>
      <bottom style="thick">
        <color theme="0" tint="-0.34998626667073579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left" vertical="center" indent="1"/>
    </xf>
    <xf numFmtId="44" fontId="3" fillId="0" borderId="2" xfId="2" applyFont="1" applyBorder="1" applyAlignment="1">
      <alignment horizontal="center" vertical="center"/>
    </xf>
    <xf numFmtId="14" fontId="0" fillId="0" borderId="0" xfId="0" applyNumberFormat="1"/>
    <xf numFmtId="14" fontId="3" fillId="0" borderId="2" xfId="1" applyNumberFormat="1" applyFont="1" applyBorder="1" applyAlignment="1">
      <alignment horizontal="center" vertical="center"/>
    </xf>
    <xf numFmtId="0" fontId="3" fillId="0" borderId="2" xfId="2" applyNumberFormat="1" applyFont="1" applyBorder="1" applyAlignment="1">
      <alignment horizontal="center" vertical="center"/>
    </xf>
    <xf numFmtId="44" fontId="0" fillId="0" borderId="0" xfId="0" applyNumberFormat="1"/>
    <xf numFmtId="44" fontId="3" fillId="0" borderId="2" xfId="2" applyFont="1" applyBorder="1" applyAlignment="1">
      <alignment horizontal="left" vertical="center" indent="1"/>
    </xf>
    <xf numFmtId="44" fontId="0" fillId="0" borderId="0" xfId="2" applyFont="1"/>
    <xf numFmtId="9" fontId="3" fillId="0" borderId="2" xfId="2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1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0" fontId="3" fillId="0" borderId="4" xfId="1" applyNumberFormat="1" applyFont="1" applyBorder="1" applyAlignment="1">
      <alignment horizontal="left" vertical="center" indent="1"/>
    </xf>
    <xf numFmtId="0" fontId="3" fillId="0" borderId="4" xfId="2" applyNumberFormat="1" applyFont="1" applyBorder="1" applyAlignment="1">
      <alignment horizontal="center" vertical="center"/>
    </xf>
    <xf numFmtId="44" fontId="3" fillId="0" borderId="4" xfId="2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5" xfId="1" applyNumberFormat="1" applyFont="1" applyBorder="1" applyAlignment="1">
      <alignment horizontal="left" vertical="center"/>
    </xf>
    <xf numFmtId="164" fontId="3" fillId="0" borderId="5" xfId="1" applyNumberFormat="1" applyFont="1" applyBorder="1" applyAlignment="1">
      <alignment horizontal="left" vertical="center"/>
    </xf>
    <xf numFmtId="0" fontId="3" fillId="0" borderId="5" xfId="1" applyNumberFormat="1" applyFont="1" applyBorder="1" applyAlignment="1">
      <alignment horizontal="left" vertical="center" indent="1"/>
    </xf>
    <xf numFmtId="0" fontId="2" fillId="2" borderId="5" xfId="0" applyFont="1" applyFill="1" applyBorder="1" applyAlignment="1">
      <alignment horizontal="center" vertical="center" wrapText="1"/>
    </xf>
    <xf numFmtId="44" fontId="3" fillId="0" borderId="5" xfId="2" applyFont="1" applyBorder="1" applyAlignment="1">
      <alignment horizontal="left" vertical="center"/>
    </xf>
  </cellXfs>
  <cellStyles count="3">
    <cellStyle name="Moeda" xfId="2" builtinId="4"/>
    <cellStyle name="Normal" xfId="0" builtinId="0"/>
    <cellStyle name="Vírgula" xfId="1" builtinId="3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0" indent="1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border outline="0">
        <bottom style="thick">
          <color theme="0" tint="-0.34998626667073579"/>
        </bottom>
      </border>
    </dxf>
    <dxf>
      <border outline="0">
        <top style="thin">
          <color rgb="FFD9D9D9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1A7047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1A7047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0" indent="1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border outline="0">
        <bottom style="thick">
          <color theme="0" tint="-0.34998626667073579"/>
        </bottom>
      </border>
    </dxf>
    <dxf>
      <border outline="0">
        <top style="thin">
          <color rgb="FFD9D9D9"/>
        </top>
        <bottom style="thin">
          <color indexed="2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DB6F27-0890-47EE-B507-95AF83B406D5}" name="Vendas" displayName="Vendas" ref="B2:K25" totalsRowShown="0" headerRowDxfId="13" dataDxfId="12" headerRowBorderDxfId="10" tableBorderDxfId="11" dataCellStyle="Moeda">
  <autoFilter ref="B2:K25" xr:uid="{A3DB6F27-0890-47EE-B507-95AF83B406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7CC0FF3-6BA0-4B17-A060-D10F45E0A2FD}" name="Cód" dataDxfId="9" dataCellStyle="Vírgula"/>
    <tableColumn id="2" xr3:uid="{6D1EBFAD-4F76-439F-B34C-A3923527C649}" name="Data" dataDxfId="8" dataCellStyle="Vírgula"/>
    <tableColumn id="3" xr3:uid="{50D726CE-A655-4861-B3D0-B2FB8D8D2E9A}" name="Nota Fiscal" dataDxfId="7" dataCellStyle="Vírgula"/>
    <tableColumn id="4" xr3:uid="{C3826885-5038-4DE5-822C-1D13EB56EEE7}" name="Vendedor" dataDxfId="6" dataCellStyle="Vírgula"/>
    <tableColumn id="5" xr3:uid="{BC4BCD6A-FC43-446D-A280-ED31F11918BF}" name="Cliente" dataDxfId="5" dataCellStyle="Vírgula"/>
    <tableColumn id="6" xr3:uid="{1DE006B0-85C6-4C6F-A78F-2905EC037E36}" name="Região" dataDxfId="4" dataCellStyle="Vírgula"/>
    <tableColumn id="7" xr3:uid="{B8614AC5-4E3F-4684-872F-DE5CDEDEDC14}" name="Qtd" dataDxfId="3" dataCellStyle="Moeda"/>
    <tableColumn id="8" xr3:uid="{047390B0-2664-4ABC-8E07-0188509D0EE1}" name="Valor Unitário" dataDxfId="2" dataCellStyle="Moeda"/>
    <tableColumn id="9" xr3:uid="{7F79885F-2647-4CF0-BE07-B9CDDA46601F}" name="Valor Total" dataDxfId="1" dataCellStyle="Moeda">
      <calculatedColumnFormula>H3*I3</calculatedColumnFormula>
    </tableColumn>
    <tableColumn id="10" xr3:uid="{B320497C-D715-4386-B1E5-8A90F24EC6E6}" name="Comissão" dataDxfId="0" dataCellStyle="Moeda">
      <calculatedColumnFormula>J3*5%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688E6D-4280-4A34-9185-0BA27E104543}" name="Vendas2" displayName="Vendas2" ref="B2:J27" totalsRowShown="0" headerRowDxfId="20" headerRowBorderDxfId="30" tableBorderDxfId="31">
  <autoFilter ref="B2:J27" xr:uid="{50688E6D-4280-4A34-9185-0BA27E1045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50DB887-EFB4-41E4-B4BE-5DDB9F373C2D}" name="Cód" dataDxfId="29" dataCellStyle="Vírgula"/>
    <tableColumn id="2" xr3:uid="{3E370E78-1E18-49BD-AD56-0AC2044A2840}" name="Data" dataDxfId="28" dataCellStyle="Vírgula"/>
    <tableColumn id="3" xr3:uid="{62FB2D05-E787-4C33-8557-50D19A76E4D5}" name="Nota Fiscal" dataDxfId="27" dataCellStyle="Vírgula"/>
    <tableColumn id="4" xr3:uid="{62DAE9C2-2DC5-4C4B-9792-EF651BE69B81}" name="Vendedor" dataDxfId="26" dataCellStyle="Vírgula"/>
    <tableColumn id="5" xr3:uid="{79E66CAF-741E-4B18-B92E-3FC5E2CE35DE}" name="Cliente" dataDxfId="25" dataCellStyle="Vírgula"/>
    <tableColumn id="6" xr3:uid="{2EDB36C4-1D4E-4336-B5E9-F3669D81F7D7}" name="Região" dataDxfId="24" dataCellStyle="Vírgula"/>
    <tableColumn id="7" xr3:uid="{A48F673F-170E-4861-BF31-0CC778A78EA1}" name="Qtd" dataDxfId="23" dataCellStyle="Moeda"/>
    <tableColumn id="8" xr3:uid="{C93364B0-EAB0-4E74-BD05-4AF01539A736}" name="Valor Unitário" dataDxfId="22" dataCellStyle="Moeda"/>
    <tableColumn id="9" xr3:uid="{F29D00EA-644C-4671-9688-E1C35B04BEB8}" name="Valor Total" dataDxfId="21" dataCellStyle="Moeda">
      <calculatedColumnFormula>H3*I3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47E6-5EF2-47CE-98C1-826D6AA02534}">
  <dimension ref="B2:K20"/>
  <sheetViews>
    <sheetView showGridLines="0" zoomScale="85" zoomScaleNormal="85" workbookViewId="0">
      <selection activeCell="B2" sqref="B2"/>
    </sheetView>
  </sheetViews>
  <sheetFormatPr defaultRowHeight="33" customHeight="1" x14ac:dyDescent="0.25"/>
  <cols>
    <col min="2" max="2" width="13.85546875" customWidth="1"/>
    <col min="3" max="3" width="14.7109375" bestFit="1" customWidth="1"/>
    <col min="4" max="4" width="18.5703125" bestFit="1" customWidth="1"/>
    <col min="5" max="5" width="22.7109375" bestFit="1" customWidth="1"/>
    <col min="6" max="6" width="39.28515625" bestFit="1" customWidth="1"/>
    <col min="7" max="7" width="40.85546875" bestFit="1" customWidth="1"/>
    <col min="8" max="8" width="22.7109375" bestFit="1" customWidth="1"/>
    <col min="9" max="9" width="23.28515625" bestFit="1" customWidth="1"/>
    <col min="10" max="10" width="28.7109375" bestFit="1" customWidth="1"/>
    <col min="11" max="11" width="21.42578125" bestFit="1" customWidth="1"/>
  </cols>
  <sheetData>
    <row r="2" spans="2:11" ht="33" customHeight="1" x14ac:dyDescent="0.25">
      <c r="B2" s="20" t="s">
        <v>0</v>
      </c>
      <c r="C2" s="21" t="s">
        <v>7</v>
      </c>
      <c r="D2" s="21" t="s">
        <v>12</v>
      </c>
      <c r="E2" s="21" t="s">
        <v>17</v>
      </c>
      <c r="F2" s="21" t="s">
        <v>21</v>
      </c>
      <c r="G2" s="21" t="s">
        <v>26</v>
      </c>
      <c r="H2" s="21" t="s">
        <v>28</v>
      </c>
      <c r="I2" s="21" t="s">
        <v>32</v>
      </c>
      <c r="J2" s="21" t="s">
        <v>35</v>
      </c>
      <c r="K2" s="21" t="s">
        <v>39</v>
      </c>
    </row>
    <row r="3" spans="2:11" ht="33" customHeight="1" x14ac:dyDescent="0.25">
      <c r="B3" s="20" t="s">
        <v>1</v>
      </c>
      <c r="C3" s="22">
        <v>44928</v>
      </c>
      <c r="D3" s="22">
        <v>44928</v>
      </c>
      <c r="E3" s="22">
        <v>44928</v>
      </c>
      <c r="F3" s="22">
        <v>44928</v>
      </c>
      <c r="G3" s="22">
        <v>44928</v>
      </c>
      <c r="H3" s="22">
        <v>44928</v>
      </c>
      <c r="I3" s="22">
        <v>44928</v>
      </c>
      <c r="J3" s="22">
        <v>44928</v>
      </c>
      <c r="K3" s="22">
        <v>44928</v>
      </c>
    </row>
    <row r="4" spans="2:11" ht="33" customHeight="1" x14ac:dyDescent="0.25">
      <c r="B4" s="20" t="s">
        <v>2</v>
      </c>
      <c r="C4" s="21">
        <v>400</v>
      </c>
      <c r="D4" s="21">
        <v>401</v>
      </c>
      <c r="E4" s="21">
        <v>404</v>
      </c>
      <c r="F4" s="21">
        <v>405</v>
      </c>
      <c r="G4" s="21">
        <v>405</v>
      </c>
      <c r="H4" s="21">
        <v>409</v>
      </c>
      <c r="I4" s="21">
        <v>410</v>
      </c>
      <c r="J4" s="21">
        <v>411</v>
      </c>
      <c r="K4" s="21">
        <v>414</v>
      </c>
    </row>
    <row r="5" spans="2:11" ht="33" customHeight="1" x14ac:dyDescent="0.25">
      <c r="B5" s="20" t="s">
        <v>3</v>
      </c>
      <c r="C5" s="23" t="s">
        <v>8</v>
      </c>
      <c r="D5" s="23" t="s">
        <v>13</v>
      </c>
      <c r="E5" s="23" t="s">
        <v>8</v>
      </c>
      <c r="F5" s="23" t="s">
        <v>22</v>
      </c>
      <c r="G5" s="23" t="s">
        <v>22</v>
      </c>
      <c r="H5" s="23" t="s">
        <v>29</v>
      </c>
      <c r="I5" s="23" t="s">
        <v>29</v>
      </c>
      <c r="J5" s="23" t="s">
        <v>36</v>
      </c>
      <c r="K5" s="23" t="s">
        <v>36</v>
      </c>
    </row>
    <row r="6" spans="2:11" ht="33" customHeight="1" x14ac:dyDescent="0.25">
      <c r="B6" s="20" t="s">
        <v>4</v>
      </c>
      <c r="C6" s="21" t="s">
        <v>9</v>
      </c>
      <c r="D6" s="21" t="s">
        <v>14</v>
      </c>
      <c r="E6" s="21" t="s">
        <v>18</v>
      </c>
      <c r="F6" s="21" t="s">
        <v>23</v>
      </c>
      <c r="G6" s="21" t="s">
        <v>23</v>
      </c>
      <c r="H6" s="21" t="s">
        <v>30</v>
      </c>
      <c r="I6" s="21" t="s">
        <v>33</v>
      </c>
      <c r="J6" s="21" t="s">
        <v>37</v>
      </c>
      <c r="K6" s="21" t="s">
        <v>40</v>
      </c>
    </row>
    <row r="7" spans="2:11" ht="33" customHeight="1" x14ac:dyDescent="0.25">
      <c r="B7" s="20" t="s">
        <v>5</v>
      </c>
      <c r="C7" s="21" t="s">
        <v>10</v>
      </c>
      <c r="D7" s="21" t="s">
        <v>15</v>
      </c>
      <c r="E7" s="21" t="s">
        <v>19</v>
      </c>
      <c r="F7" s="21" t="s">
        <v>24</v>
      </c>
      <c r="G7" s="21" t="s">
        <v>27</v>
      </c>
      <c r="H7" s="21" t="s">
        <v>19</v>
      </c>
      <c r="I7" s="21" t="s">
        <v>34</v>
      </c>
      <c r="J7" s="21" t="s">
        <v>38</v>
      </c>
      <c r="K7" s="21" t="s">
        <v>41</v>
      </c>
    </row>
    <row r="8" spans="2:11" ht="33" customHeight="1" x14ac:dyDescent="0.25">
      <c r="B8" s="20" t="s">
        <v>6</v>
      </c>
      <c r="C8" s="21" t="s">
        <v>11</v>
      </c>
      <c r="D8" s="21" t="s">
        <v>16</v>
      </c>
      <c r="E8" s="21" t="s">
        <v>20</v>
      </c>
      <c r="F8" s="21" t="s">
        <v>25</v>
      </c>
      <c r="G8" s="21" t="s">
        <v>16</v>
      </c>
      <c r="H8" s="21" t="s">
        <v>31</v>
      </c>
      <c r="I8" s="21" t="s">
        <v>11</v>
      </c>
      <c r="J8" s="21" t="s">
        <v>16</v>
      </c>
      <c r="K8" s="21" t="s">
        <v>25</v>
      </c>
    </row>
    <row r="9" spans="2:11" ht="33" customHeight="1" x14ac:dyDescent="0.25">
      <c r="B9" s="24" t="s">
        <v>42</v>
      </c>
      <c r="C9" s="25">
        <v>1329</v>
      </c>
      <c r="D9" s="25">
        <v>1134</v>
      </c>
      <c r="E9" s="25">
        <v>1390</v>
      </c>
      <c r="F9" s="25">
        <v>688</v>
      </c>
      <c r="G9" s="25">
        <v>1374</v>
      </c>
      <c r="H9" s="25">
        <v>476</v>
      </c>
      <c r="I9" s="25">
        <v>742</v>
      </c>
      <c r="J9" s="25">
        <v>1408</v>
      </c>
      <c r="K9" s="25">
        <v>925</v>
      </c>
    </row>
    <row r="11" spans="2:11" ht="33" customHeight="1" x14ac:dyDescent="0.25">
      <c r="B11" s="20" t="s">
        <v>0</v>
      </c>
      <c r="C11" s="20" t="s">
        <v>1</v>
      </c>
      <c r="D11" s="20" t="s">
        <v>2</v>
      </c>
      <c r="E11" s="20" t="s">
        <v>3</v>
      </c>
      <c r="F11" s="20" t="s">
        <v>4</v>
      </c>
      <c r="G11" s="20" t="s">
        <v>5</v>
      </c>
      <c r="H11" s="20" t="s">
        <v>6</v>
      </c>
      <c r="I11" s="24" t="s">
        <v>42</v>
      </c>
    </row>
    <row r="12" spans="2:11" ht="33" customHeight="1" x14ac:dyDescent="0.25">
      <c r="B12" s="21" t="s">
        <v>7</v>
      </c>
      <c r="C12" s="22">
        <v>44928</v>
      </c>
      <c r="D12" s="21">
        <v>400</v>
      </c>
      <c r="E12" s="23" t="s">
        <v>8</v>
      </c>
      <c r="F12" s="21" t="s">
        <v>9</v>
      </c>
      <c r="G12" s="21" t="s">
        <v>10</v>
      </c>
      <c r="H12" s="21" t="s">
        <v>11</v>
      </c>
      <c r="I12" s="25">
        <v>1329</v>
      </c>
    </row>
    <row r="13" spans="2:11" ht="33" customHeight="1" x14ac:dyDescent="0.25">
      <c r="B13" s="21" t="s">
        <v>12</v>
      </c>
      <c r="C13" s="22">
        <v>44928</v>
      </c>
      <c r="D13" s="21">
        <v>401</v>
      </c>
      <c r="E13" s="23" t="s">
        <v>13</v>
      </c>
      <c r="F13" s="21" t="s">
        <v>14</v>
      </c>
      <c r="G13" s="21" t="s">
        <v>15</v>
      </c>
      <c r="H13" s="21" t="s">
        <v>16</v>
      </c>
      <c r="I13" s="25">
        <v>1134</v>
      </c>
    </row>
    <row r="14" spans="2:11" ht="33" customHeight="1" x14ac:dyDescent="0.25">
      <c r="B14" s="21" t="s">
        <v>17</v>
      </c>
      <c r="C14" s="22">
        <v>44928</v>
      </c>
      <c r="D14" s="21">
        <v>404</v>
      </c>
      <c r="E14" s="23" t="s">
        <v>8</v>
      </c>
      <c r="F14" s="21" t="s">
        <v>18</v>
      </c>
      <c r="G14" s="21" t="s">
        <v>19</v>
      </c>
      <c r="H14" s="21" t="s">
        <v>20</v>
      </c>
      <c r="I14" s="25">
        <v>1390</v>
      </c>
    </row>
    <row r="15" spans="2:11" ht="33" customHeight="1" x14ac:dyDescent="0.25">
      <c r="B15" s="21" t="s">
        <v>21</v>
      </c>
      <c r="C15" s="22">
        <v>44928</v>
      </c>
      <c r="D15" s="21">
        <v>405</v>
      </c>
      <c r="E15" s="23" t="s">
        <v>22</v>
      </c>
      <c r="F15" s="21" t="s">
        <v>23</v>
      </c>
      <c r="G15" s="21" t="s">
        <v>24</v>
      </c>
      <c r="H15" s="21" t="s">
        <v>25</v>
      </c>
      <c r="I15" s="25">
        <v>688</v>
      </c>
    </row>
    <row r="16" spans="2:11" ht="33" customHeight="1" x14ac:dyDescent="0.25">
      <c r="B16" s="21" t="s">
        <v>26</v>
      </c>
      <c r="C16" s="22">
        <v>44928</v>
      </c>
      <c r="D16" s="21">
        <v>405</v>
      </c>
      <c r="E16" s="23" t="s">
        <v>22</v>
      </c>
      <c r="F16" s="21" t="s">
        <v>23</v>
      </c>
      <c r="G16" s="21" t="s">
        <v>27</v>
      </c>
      <c r="H16" s="21" t="s">
        <v>16</v>
      </c>
      <c r="I16" s="25">
        <v>1374</v>
      </c>
    </row>
    <row r="17" spans="2:9" ht="33" customHeight="1" x14ac:dyDescent="0.25">
      <c r="B17" s="21" t="s">
        <v>28</v>
      </c>
      <c r="C17" s="22">
        <v>44928</v>
      </c>
      <c r="D17" s="21">
        <v>409</v>
      </c>
      <c r="E17" s="23" t="s">
        <v>29</v>
      </c>
      <c r="F17" s="21" t="s">
        <v>30</v>
      </c>
      <c r="G17" s="21" t="s">
        <v>19</v>
      </c>
      <c r="H17" s="21" t="s">
        <v>31</v>
      </c>
      <c r="I17" s="25">
        <v>476</v>
      </c>
    </row>
    <row r="18" spans="2:9" ht="33" customHeight="1" x14ac:dyDescent="0.25">
      <c r="B18" s="21" t="s">
        <v>32</v>
      </c>
      <c r="C18" s="22">
        <v>44928</v>
      </c>
      <c r="D18" s="21">
        <v>410</v>
      </c>
      <c r="E18" s="23" t="s">
        <v>29</v>
      </c>
      <c r="F18" s="21" t="s">
        <v>33</v>
      </c>
      <c r="G18" s="21" t="s">
        <v>34</v>
      </c>
      <c r="H18" s="21" t="s">
        <v>11</v>
      </c>
      <c r="I18" s="25">
        <v>742</v>
      </c>
    </row>
    <row r="19" spans="2:9" ht="33" customHeight="1" x14ac:dyDescent="0.25">
      <c r="B19" s="21" t="s">
        <v>35</v>
      </c>
      <c r="C19" s="22">
        <v>44928</v>
      </c>
      <c r="D19" s="21">
        <v>411</v>
      </c>
      <c r="E19" s="23" t="s">
        <v>36</v>
      </c>
      <c r="F19" s="21" t="s">
        <v>37</v>
      </c>
      <c r="G19" s="21" t="s">
        <v>38</v>
      </c>
      <c r="H19" s="21" t="s">
        <v>16</v>
      </c>
      <c r="I19" s="25">
        <v>1408</v>
      </c>
    </row>
    <row r="20" spans="2:9" ht="33" customHeight="1" x14ac:dyDescent="0.25">
      <c r="B20" s="21" t="s">
        <v>39</v>
      </c>
      <c r="C20" s="22">
        <v>44928</v>
      </c>
      <c r="D20" s="21">
        <v>414</v>
      </c>
      <c r="E20" s="23" t="s">
        <v>36</v>
      </c>
      <c r="F20" s="21" t="s">
        <v>40</v>
      </c>
      <c r="G20" s="21" t="s">
        <v>41</v>
      </c>
      <c r="H20" s="21" t="s">
        <v>25</v>
      </c>
      <c r="I20" s="25">
        <v>925</v>
      </c>
    </row>
  </sheetData>
  <dataValidations count="1">
    <dataValidation type="list" allowBlank="1" showInputMessage="1" showErrorMessage="1" sqref="C8:K8 H12:H20" xr:uid="{3E3EE5A7-E230-454F-A9B3-F8F0593DE4FF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2467F-5C7A-4C40-A1C9-591A2A5B2BF4}">
  <dimension ref="B2:AI43"/>
  <sheetViews>
    <sheetView showGridLines="0" workbookViewId="0">
      <selection activeCell="B2" sqref="B2"/>
    </sheetView>
  </sheetViews>
  <sheetFormatPr defaultRowHeight="15" x14ac:dyDescent="0.25"/>
  <cols>
    <col min="2" max="2" width="11.140625"/>
    <col min="3" max="4" width="11" customWidth="1"/>
    <col min="5" max="5" width="21.42578125" bestFit="1" customWidth="1"/>
    <col min="6" max="6" width="23.85546875" bestFit="1" customWidth="1"/>
    <col min="7" max="7" width="39.28515625" bestFit="1" customWidth="1"/>
    <col min="8" max="8" width="39.28515625" customWidth="1"/>
    <col min="9" max="9" width="15.85546875" bestFit="1" customWidth="1"/>
    <col min="10" max="10" width="17.28515625" bestFit="1" customWidth="1"/>
    <col min="12" max="12" width="10.7109375" bestFit="1" customWidth="1"/>
  </cols>
  <sheetData>
    <row r="2" spans="2:35" ht="26.2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42</v>
      </c>
      <c r="AI2" s="1" t="s">
        <v>6</v>
      </c>
    </row>
    <row r="3" spans="2:35" ht="15.75" thickTop="1" x14ac:dyDescent="0.25">
      <c r="B3" s="3" t="s">
        <v>7</v>
      </c>
      <c r="C3" s="7">
        <v>44928</v>
      </c>
      <c r="D3" s="3">
        <v>400</v>
      </c>
      <c r="E3" s="4" t="s">
        <v>8</v>
      </c>
      <c r="F3" s="3" t="s">
        <v>9</v>
      </c>
      <c r="G3" s="3" t="s">
        <v>10</v>
      </c>
      <c r="H3" s="3" t="s">
        <v>31</v>
      </c>
      <c r="I3" s="5">
        <v>1329</v>
      </c>
      <c r="AI3" s="3" t="s">
        <v>11</v>
      </c>
    </row>
    <row r="4" spans="2:35" x14ac:dyDescent="0.25">
      <c r="B4" s="3" t="s">
        <v>12</v>
      </c>
      <c r="C4" s="7">
        <v>44928</v>
      </c>
      <c r="D4" s="3">
        <v>401</v>
      </c>
      <c r="E4" s="4" t="s">
        <v>13</v>
      </c>
      <c r="F4" s="3" t="s">
        <v>14</v>
      </c>
      <c r="G4" s="3" t="s">
        <v>15</v>
      </c>
      <c r="H4" s="3" t="s">
        <v>16</v>
      </c>
      <c r="I4" s="5">
        <v>1134</v>
      </c>
      <c r="AI4" s="3" t="s">
        <v>16</v>
      </c>
    </row>
    <row r="5" spans="2:35" x14ac:dyDescent="0.25">
      <c r="B5" s="3" t="s">
        <v>17</v>
      </c>
      <c r="C5" s="7">
        <v>44928</v>
      </c>
      <c r="D5" s="3">
        <v>404</v>
      </c>
      <c r="E5" s="4" t="s">
        <v>8</v>
      </c>
      <c r="F5" s="3" t="s">
        <v>18</v>
      </c>
      <c r="G5" s="3" t="s">
        <v>19</v>
      </c>
      <c r="H5" s="3" t="s">
        <v>20</v>
      </c>
      <c r="I5" s="5">
        <v>1390</v>
      </c>
      <c r="AI5" s="3" t="s">
        <v>20</v>
      </c>
    </row>
    <row r="6" spans="2:35" x14ac:dyDescent="0.25">
      <c r="B6" s="3" t="s">
        <v>21</v>
      </c>
      <c r="C6" s="7">
        <v>44928</v>
      </c>
      <c r="D6" s="3">
        <v>405</v>
      </c>
      <c r="E6" s="4" t="s">
        <v>22</v>
      </c>
      <c r="F6" s="3" t="s">
        <v>23</v>
      </c>
      <c r="G6" s="3" t="s">
        <v>24</v>
      </c>
      <c r="H6" s="3" t="s">
        <v>25</v>
      </c>
      <c r="I6" s="5">
        <v>688</v>
      </c>
      <c r="AI6" s="3" t="s">
        <v>25</v>
      </c>
    </row>
    <row r="7" spans="2:35" x14ac:dyDescent="0.25">
      <c r="B7" s="3" t="s">
        <v>26</v>
      </c>
      <c r="C7" s="7">
        <v>44928</v>
      </c>
      <c r="D7" s="3">
        <v>405</v>
      </c>
      <c r="E7" s="4" t="s">
        <v>22</v>
      </c>
      <c r="F7" s="3" t="s">
        <v>23</v>
      </c>
      <c r="G7" s="3" t="s">
        <v>27</v>
      </c>
      <c r="H7" s="3" t="s">
        <v>16</v>
      </c>
      <c r="I7" s="5">
        <v>1374</v>
      </c>
      <c r="L7" s="6"/>
      <c r="AI7" s="3" t="s">
        <v>31</v>
      </c>
    </row>
    <row r="8" spans="2:35" x14ac:dyDescent="0.25">
      <c r="B8" s="3" t="s">
        <v>28</v>
      </c>
      <c r="C8" s="7">
        <v>44928</v>
      </c>
      <c r="D8" s="3">
        <v>409</v>
      </c>
      <c r="E8" s="4" t="s">
        <v>29</v>
      </c>
      <c r="F8" s="3" t="s">
        <v>30</v>
      </c>
      <c r="G8" s="3" t="s">
        <v>19</v>
      </c>
      <c r="H8" s="3" t="s">
        <v>31</v>
      </c>
      <c r="I8" s="5">
        <v>476</v>
      </c>
    </row>
    <row r="9" spans="2:35" x14ac:dyDescent="0.25">
      <c r="B9" s="3" t="s">
        <v>32</v>
      </c>
      <c r="C9" s="7">
        <v>44928</v>
      </c>
      <c r="D9" s="3">
        <v>410</v>
      </c>
      <c r="E9" s="4" t="s">
        <v>29</v>
      </c>
      <c r="F9" s="3" t="s">
        <v>33</v>
      </c>
      <c r="G9" s="3" t="s">
        <v>34</v>
      </c>
      <c r="H9" s="3" t="s">
        <v>11</v>
      </c>
      <c r="I9" s="5">
        <v>742</v>
      </c>
    </row>
    <row r="10" spans="2:35" x14ac:dyDescent="0.25">
      <c r="B10" s="3" t="s">
        <v>35</v>
      </c>
      <c r="C10" s="7">
        <v>44928</v>
      </c>
      <c r="D10" s="3">
        <v>411</v>
      </c>
      <c r="E10" s="4" t="s">
        <v>36</v>
      </c>
      <c r="F10" s="3" t="s">
        <v>37</v>
      </c>
      <c r="G10" s="3" t="s">
        <v>38</v>
      </c>
      <c r="H10" s="3" t="s">
        <v>16</v>
      </c>
      <c r="I10" s="5">
        <v>1408</v>
      </c>
    </row>
    <row r="11" spans="2:35" x14ac:dyDescent="0.25">
      <c r="B11" s="3" t="s">
        <v>39</v>
      </c>
      <c r="C11" s="7">
        <v>44928</v>
      </c>
      <c r="D11" s="3">
        <v>414</v>
      </c>
      <c r="E11" s="4" t="s">
        <v>36</v>
      </c>
      <c r="F11" s="3" t="s">
        <v>40</v>
      </c>
      <c r="G11" s="3" t="s">
        <v>41</v>
      </c>
      <c r="H11" s="3" t="s">
        <v>25</v>
      </c>
      <c r="I11" s="5">
        <v>925</v>
      </c>
    </row>
    <row r="12" spans="2:35" x14ac:dyDescent="0.25">
      <c r="B12" s="3" t="s">
        <v>43</v>
      </c>
      <c r="C12" s="7">
        <v>44928</v>
      </c>
      <c r="D12" s="3">
        <v>414</v>
      </c>
      <c r="E12" s="4" t="s">
        <v>36</v>
      </c>
      <c r="F12" s="3" t="s">
        <v>40</v>
      </c>
      <c r="G12" s="3" t="s">
        <v>19</v>
      </c>
      <c r="H12" s="3" t="s">
        <v>25</v>
      </c>
      <c r="I12" s="5">
        <v>1198</v>
      </c>
    </row>
    <row r="13" spans="2:35" x14ac:dyDescent="0.25">
      <c r="B13" s="3" t="s">
        <v>44</v>
      </c>
      <c r="C13" s="7">
        <v>44928</v>
      </c>
      <c r="D13" s="3">
        <v>415</v>
      </c>
      <c r="E13" s="4" t="s">
        <v>45</v>
      </c>
      <c r="F13" s="3" t="s">
        <v>46</v>
      </c>
      <c r="G13" s="3" t="s">
        <v>47</v>
      </c>
      <c r="H13" s="3" t="s">
        <v>16</v>
      </c>
      <c r="I13" s="5">
        <v>1143</v>
      </c>
    </row>
    <row r="14" spans="2:35" x14ac:dyDescent="0.25">
      <c r="B14" s="3" t="s">
        <v>48</v>
      </c>
      <c r="C14" s="7">
        <v>44928</v>
      </c>
      <c r="D14" s="3">
        <v>415</v>
      </c>
      <c r="E14" s="4" t="s">
        <v>45</v>
      </c>
      <c r="F14" s="3" t="s">
        <v>46</v>
      </c>
      <c r="G14" s="3" t="s">
        <v>49</v>
      </c>
      <c r="H14" s="3" t="s">
        <v>16</v>
      </c>
      <c r="I14" s="5">
        <v>1300</v>
      </c>
    </row>
    <row r="15" spans="2:35" x14ac:dyDescent="0.25">
      <c r="B15" s="3" t="s">
        <v>50</v>
      </c>
      <c r="C15" s="7">
        <v>44928</v>
      </c>
      <c r="D15" s="3">
        <v>415</v>
      </c>
      <c r="E15" s="4" t="s">
        <v>45</v>
      </c>
      <c r="F15" s="3" t="s">
        <v>46</v>
      </c>
      <c r="G15" s="3" t="s">
        <v>51</v>
      </c>
      <c r="H15" s="3" t="s">
        <v>16</v>
      </c>
      <c r="I15" s="5">
        <v>871</v>
      </c>
    </row>
    <row r="16" spans="2:35" x14ac:dyDescent="0.25">
      <c r="B16" s="3" t="s">
        <v>52</v>
      </c>
      <c r="C16" s="7">
        <v>44928</v>
      </c>
      <c r="D16" s="3">
        <v>415</v>
      </c>
      <c r="E16" s="4" t="s">
        <v>45</v>
      </c>
      <c r="F16" s="3" t="s">
        <v>46</v>
      </c>
      <c r="G16" s="3" t="s">
        <v>47</v>
      </c>
      <c r="H16" s="3" t="s">
        <v>16</v>
      </c>
      <c r="I16" s="5">
        <v>1357</v>
      </c>
    </row>
    <row r="17" spans="2:9" x14ac:dyDescent="0.25">
      <c r="B17" s="3" t="s">
        <v>53</v>
      </c>
      <c r="C17" s="7">
        <v>44928</v>
      </c>
      <c r="D17" s="3">
        <v>416</v>
      </c>
      <c r="E17" s="4" t="s">
        <v>29</v>
      </c>
      <c r="F17" s="3" t="s">
        <v>54</v>
      </c>
      <c r="G17" s="3" t="s">
        <v>55</v>
      </c>
      <c r="H17" s="3" t="s">
        <v>16</v>
      </c>
      <c r="I17" s="5">
        <v>1267</v>
      </c>
    </row>
    <row r="18" spans="2:9" x14ac:dyDescent="0.25">
      <c r="B18" s="3" t="s">
        <v>56</v>
      </c>
      <c r="C18" s="7">
        <v>44928</v>
      </c>
      <c r="D18" s="3">
        <v>420</v>
      </c>
      <c r="E18" s="4" t="s">
        <v>45</v>
      </c>
      <c r="F18" s="3" t="s">
        <v>57</v>
      </c>
      <c r="G18" s="3" t="s">
        <v>58</v>
      </c>
      <c r="H18" s="3" t="s">
        <v>20</v>
      </c>
      <c r="I18" s="5">
        <v>798</v>
      </c>
    </row>
    <row r="19" spans="2:9" x14ac:dyDescent="0.25">
      <c r="B19" s="3" t="s">
        <v>59</v>
      </c>
      <c r="C19" s="7">
        <v>44928</v>
      </c>
      <c r="D19" s="3">
        <v>420</v>
      </c>
      <c r="E19" s="4" t="s">
        <v>45</v>
      </c>
      <c r="F19" s="3" t="s">
        <v>57</v>
      </c>
      <c r="G19" s="3" t="s">
        <v>60</v>
      </c>
      <c r="H19" s="3" t="s">
        <v>20</v>
      </c>
      <c r="I19" s="5">
        <v>815</v>
      </c>
    </row>
    <row r="20" spans="2:9" x14ac:dyDescent="0.25">
      <c r="B20" s="3" t="s">
        <v>61</v>
      </c>
      <c r="C20" s="7">
        <v>44928</v>
      </c>
      <c r="D20" s="3">
        <v>420</v>
      </c>
      <c r="E20" s="4" t="s">
        <v>45</v>
      </c>
      <c r="F20" s="3" t="s">
        <v>57</v>
      </c>
      <c r="G20" s="3" t="s">
        <v>62</v>
      </c>
      <c r="H20" s="3" t="s">
        <v>20</v>
      </c>
      <c r="I20" s="5">
        <v>1357</v>
      </c>
    </row>
    <row r="21" spans="2:9" x14ac:dyDescent="0.25">
      <c r="B21" s="3" t="s">
        <v>63</v>
      </c>
      <c r="C21" s="7">
        <v>44928</v>
      </c>
      <c r="D21" s="3">
        <v>420</v>
      </c>
      <c r="E21" s="4" t="s">
        <v>45</v>
      </c>
      <c r="F21" s="3" t="s">
        <v>57</v>
      </c>
      <c r="G21" s="3" t="s">
        <v>64</v>
      </c>
      <c r="H21" s="3" t="s">
        <v>20</v>
      </c>
      <c r="I21" s="5">
        <v>1489</v>
      </c>
    </row>
    <row r="22" spans="2:9" x14ac:dyDescent="0.25">
      <c r="B22" s="3" t="s">
        <v>65</v>
      </c>
      <c r="C22" s="7">
        <v>44928</v>
      </c>
      <c r="D22" s="3">
        <v>422</v>
      </c>
      <c r="E22" s="4" t="s">
        <v>13</v>
      </c>
      <c r="F22" s="3" t="s">
        <v>66</v>
      </c>
      <c r="G22" s="3" t="s">
        <v>67</v>
      </c>
      <c r="H22" s="3" t="s">
        <v>11</v>
      </c>
      <c r="I22" s="5">
        <v>1357</v>
      </c>
    </row>
    <row r="23" spans="2:9" x14ac:dyDescent="0.25">
      <c r="B23" s="3" t="s">
        <v>68</v>
      </c>
      <c r="C23" s="7">
        <v>44928</v>
      </c>
      <c r="D23" s="3">
        <v>422</v>
      </c>
      <c r="E23" s="4" t="s">
        <v>13</v>
      </c>
      <c r="F23" s="3" t="s">
        <v>66</v>
      </c>
      <c r="G23" s="3" t="s">
        <v>69</v>
      </c>
      <c r="H23" s="3" t="s">
        <v>11</v>
      </c>
      <c r="I23" s="5">
        <v>1143</v>
      </c>
    </row>
    <row r="24" spans="2:9" x14ac:dyDescent="0.25">
      <c r="B24" s="3" t="s">
        <v>70</v>
      </c>
      <c r="C24" s="7">
        <v>44928</v>
      </c>
      <c r="D24" s="3">
        <v>422</v>
      </c>
      <c r="E24" s="4" t="s">
        <v>13</v>
      </c>
      <c r="F24" s="3" t="s">
        <v>66</v>
      </c>
      <c r="G24" s="3" t="s">
        <v>38</v>
      </c>
      <c r="H24" s="3" t="s">
        <v>11</v>
      </c>
      <c r="I24" s="5">
        <v>971</v>
      </c>
    </row>
    <row r="25" spans="2:9" x14ac:dyDescent="0.25">
      <c r="B25" s="3" t="s">
        <v>71</v>
      </c>
      <c r="C25" s="7">
        <v>44928</v>
      </c>
      <c r="D25" s="3">
        <v>423</v>
      </c>
      <c r="E25" s="4" t="s">
        <v>13</v>
      </c>
      <c r="F25" s="3" t="s">
        <v>72</v>
      </c>
      <c r="G25" s="3" t="s">
        <v>73</v>
      </c>
      <c r="H25" s="3" t="s">
        <v>16</v>
      </c>
      <c r="I25" s="5">
        <v>1357</v>
      </c>
    </row>
    <row r="26" spans="2:9" x14ac:dyDescent="0.25">
      <c r="B26" s="3" t="s">
        <v>74</v>
      </c>
      <c r="C26" s="7">
        <v>44928</v>
      </c>
      <c r="D26" s="3">
        <v>424</v>
      </c>
      <c r="E26" s="4" t="s">
        <v>8</v>
      </c>
      <c r="F26" s="3" t="s">
        <v>75</v>
      </c>
      <c r="G26" s="3" t="s">
        <v>76</v>
      </c>
      <c r="H26" s="3" t="s">
        <v>16</v>
      </c>
      <c r="I26" s="5">
        <v>1086</v>
      </c>
    </row>
    <row r="27" spans="2:9" x14ac:dyDescent="0.25">
      <c r="B27" s="3" t="s">
        <v>77</v>
      </c>
      <c r="C27" s="7">
        <v>44928</v>
      </c>
      <c r="D27" s="3">
        <v>424</v>
      </c>
      <c r="E27" s="4" t="s">
        <v>8</v>
      </c>
      <c r="F27" s="3" t="s">
        <v>75</v>
      </c>
      <c r="G27" s="3" t="s">
        <v>78</v>
      </c>
      <c r="H27" s="3" t="s">
        <v>16</v>
      </c>
      <c r="I27" s="5">
        <v>413</v>
      </c>
    </row>
    <row r="28" spans="2:9" x14ac:dyDescent="0.25">
      <c r="B28" s="3" t="s">
        <v>79</v>
      </c>
      <c r="C28" s="7">
        <v>44928</v>
      </c>
      <c r="D28" s="3">
        <v>426</v>
      </c>
      <c r="E28" s="4" t="s">
        <v>13</v>
      </c>
      <c r="F28" s="3" t="s">
        <v>80</v>
      </c>
      <c r="G28" s="3" t="s">
        <v>81</v>
      </c>
      <c r="H28" s="3" t="s">
        <v>16</v>
      </c>
      <c r="I28" s="5">
        <v>1329</v>
      </c>
    </row>
    <row r="29" spans="2:9" x14ac:dyDescent="0.25">
      <c r="B29" s="3" t="s">
        <v>82</v>
      </c>
      <c r="C29" s="7">
        <v>44928</v>
      </c>
      <c r="D29" s="3">
        <v>427</v>
      </c>
      <c r="E29" s="4" t="s">
        <v>29</v>
      </c>
      <c r="F29" s="3" t="s">
        <v>83</v>
      </c>
      <c r="G29" s="3" t="s">
        <v>64</v>
      </c>
      <c r="H29" s="3" t="s">
        <v>25</v>
      </c>
      <c r="I29" s="5">
        <v>1093</v>
      </c>
    </row>
    <row r="30" spans="2:9" x14ac:dyDescent="0.25">
      <c r="B30" s="3" t="s">
        <v>84</v>
      </c>
      <c r="C30" s="7">
        <v>44928</v>
      </c>
      <c r="D30" s="3">
        <v>427</v>
      </c>
      <c r="E30" s="4" t="s">
        <v>29</v>
      </c>
      <c r="F30" s="3" t="s">
        <v>83</v>
      </c>
      <c r="G30" s="3" t="s">
        <v>34</v>
      </c>
      <c r="H30" s="3" t="s">
        <v>25</v>
      </c>
      <c r="I30" s="5">
        <v>798</v>
      </c>
    </row>
    <row r="31" spans="2:9" x14ac:dyDescent="0.25">
      <c r="B31" s="3" t="s">
        <v>85</v>
      </c>
      <c r="C31" s="7">
        <v>44928</v>
      </c>
      <c r="D31" s="3">
        <v>427</v>
      </c>
      <c r="E31" s="4" t="s">
        <v>29</v>
      </c>
      <c r="F31" s="3" t="s">
        <v>83</v>
      </c>
      <c r="G31" s="3" t="s">
        <v>86</v>
      </c>
      <c r="H31" s="3" t="s">
        <v>25</v>
      </c>
      <c r="I31" s="5">
        <v>871</v>
      </c>
    </row>
    <row r="32" spans="2:9" x14ac:dyDescent="0.25">
      <c r="B32" s="3" t="s">
        <v>87</v>
      </c>
      <c r="C32" s="7">
        <v>44928</v>
      </c>
      <c r="D32" s="3">
        <v>429</v>
      </c>
      <c r="E32" s="4" t="s">
        <v>36</v>
      </c>
      <c r="F32" s="3" t="s">
        <v>88</v>
      </c>
      <c r="G32" s="3" t="s">
        <v>73</v>
      </c>
      <c r="H32" s="3" t="s">
        <v>20</v>
      </c>
      <c r="I32" s="5">
        <v>1238</v>
      </c>
    </row>
    <row r="33" spans="2:9" x14ac:dyDescent="0.25">
      <c r="B33" s="3" t="s">
        <v>89</v>
      </c>
      <c r="C33" s="7">
        <v>44928</v>
      </c>
      <c r="D33" s="3">
        <v>430</v>
      </c>
      <c r="E33" s="4" t="s">
        <v>22</v>
      </c>
      <c r="F33" s="3" t="s">
        <v>90</v>
      </c>
      <c r="G33" s="3" t="s">
        <v>91</v>
      </c>
      <c r="H33" s="3" t="s">
        <v>20</v>
      </c>
      <c r="I33" s="5">
        <v>1500</v>
      </c>
    </row>
    <row r="34" spans="2:9" x14ac:dyDescent="0.25">
      <c r="B34" s="3" t="s">
        <v>92</v>
      </c>
      <c r="C34" s="7">
        <v>44928</v>
      </c>
      <c r="D34" s="3">
        <v>432</v>
      </c>
      <c r="E34" s="4" t="s">
        <v>45</v>
      </c>
      <c r="F34" s="3" t="s">
        <v>93</v>
      </c>
      <c r="G34" s="3" t="s">
        <v>94</v>
      </c>
      <c r="H34" s="3" t="s">
        <v>20</v>
      </c>
      <c r="I34" s="5">
        <v>793</v>
      </c>
    </row>
    <row r="35" spans="2:9" x14ac:dyDescent="0.25">
      <c r="B35" s="3" t="s">
        <v>95</v>
      </c>
      <c r="C35" s="7">
        <v>44928</v>
      </c>
      <c r="D35" s="3">
        <v>432</v>
      </c>
      <c r="E35" s="4" t="s">
        <v>45</v>
      </c>
      <c r="F35" s="3" t="s">
        <v>93</v>
      </c>
      <c r="G35" s="3" t="s">
        <v>96</v>
      </c>
      <c r="H35" s="3" t="s">
        <v>20</v>
      </c>
      <c r="I35" s="5">
        <v>542</v>
      </c>
    </row>
    <row r="36" spans="2:9" x14ac:dyDescent="0.25">
      <c r="B36" s="3" t="s">
        <v>97</v>
      </c>
      <c r="C36" s="7">
        <v>44928</v>
      </c>
      <c r="D36" s="3">
        <v>432</v>
      </c>
      <c r="E36" s="4" t="s">
        <v>45</v>
      </c>
      <c r="F36" s="3" t="s">
        <v>93</v>
      </c>
      <c r="G36" s="3" t="s">
        <v>98</v>
      </c>
      <c r="H36" s="3" t="s">
        <v>20</v>
      </c>
      <c r="I36" s="5">
        <v>871</v>
      </c>
    </row>
    <row r="37" spans="2:9" x14ac:dyDescent="0.25">
      <c r="B37" s="3" t="s">
        <v>99</v>
      </c>
      <c r="C37" s="7">
        <v>44928</v>
      </c>
      <c r="D37" s="3">
        <v>433</v>
      </c>
      <c r="E37" s="4" t="s">
        <v>13</v>
      </c>
      <c r="F37" s="3" t="s">
        <v>100</v>
      </c>
      <c r="G37" s="3" t="s">
        <v>101</v>
      </c>
      <c r="H37" s="3" t="s">
        <v>31</v>
      </c>
      <c r="I37" s="5">
        <v>539</v>
      </c>
    </row>
    <row r="38" spans="2:9" x14ac:dyDescent="0.25">
      <c r="B38" s="3" t="s">
        <v>102</v>
      </c>
      <c r="C38" s="7">
        <v>44928</v>
      </c>
      <c r="D38" s="3">
        <v>434</v>
      </c>
      <c r="E38" s="4" t="s">
        <v>29</v>
      </c>
      <c r="F38" s="3" t="s">
        <v>103</v>
      </c>
      <c r="G38" s="3" t="s">
        <v>60</v>
      </c>
      <c r="H38" s="3" t="s">
        <v>11</v>
      </c>
      <c r="I38" s="5">
        <v>743</v>
      </c>
    </row>
    <row r="39" spans="2:9" x14ac:dyDescent="0.25">
      <c r="B39" s="3" t="s">
        <v>104</v>
      </c>
      <c r="C39" s="7">
        <v>44928</v>
      </c>
      <c r="D39" s="3">
        <v>434</v>
      </c>
      <c r="E39" s="4" t="s">
        <v>29</v>
      </c>
      <c r="F39" s="3" t="s">
        <v>103</v>
      </c>
      <c r="G39" s="3" t="s">
        <v>105</v>
      </c>
      <c r="H39" s="3" t="s">
        <v>11</v>
      </c>
      <c r="I39" s="5">
        <v>954</v>
      </c>
    </row>
    <row r="40" spans="2:9" x14ac:dyDescent="0.25">
      <c r="B40" s="3" t="s">
        <v>106</v>
      </c>
      <c r="C40" s="7">
        <v>44928</v>
      </c>
      <c r="D40" s="3">
        <v>434</v>
      </c>
      <c r="E40" s="4" t="s">
        <v>29</v>
      </c>
      <c r="F40" s="3" t="s">
        <v>103</v>
      </c>
      <c r="G40" s="3" t="s">
        <v>107</v>
      </c>
      <c r="H40" s="3" t="s">
        <v>11</v>
      </c>
      <c r="I40" s="5">
        <v>871</v>
      </c>
    </row>
    <row r="41" spans="2:9" x14ac:dyDescent="0.25">
      <c r="B41" s="3" t="s">
        <v>108</v>
      </c>
      <c r="C41" s="7">
        <v>44928</v>
      </c>
      <c r="D41" s="3">
        <v>436</v>
      </c>
      <c r="E41" s="4" t="s">
        <v>22</v>
      </c>
      <c r="F41" s="3" t="s">
        <v>109</v>
      </c>
      <c r="G41" s="3" t="s">
        <v>60</v>
      </c>
      <c r="H41" s="3" t="s">
        <v>31</v>
      </c>
      <c r="I41" s="5">
        <v>539</v>
      </c>
    </row>
    <row r="42" spans="2:9" x14ac:dyDescent="0.25">
      <c r="B42" s="3" t="s">
        <v>110</v>
      </c>
      <c r="C42" s="7">
        <v>44928</v>
      </c>
      <c r="D42" s="3">
        <v>436</v>
      </c>
      <c r="E42" s="4" t="s">
        <v>22</v>
      </c>
      <c r="F42" s="3" t="s">
        <v>109</v>
      </c>
      <c r="G42" s="3" t="s">
        <v>111</v>
      </c>
      <c r="H42" s="3" t="s">
        <v>31</v>
      </c>
      <c r="I42" s="5">
        <v>925</v>
      </c>
    </row>
    <row r="43" spans="2:9" x14ac:dyDescent="0.25">
      <c r="B43" s="3" t="s">
        <v>112</v>
      </c>
      <c r="C43" s="7">
        <v>44928</v>
      </c>
      <c r="D43" s="3">
        <v>436</v>
      </c>
      <c r="E43" s="4" t="s">
        <v>22</v>
      </c>
      <c r="F43" s="3" t="s">
        <v>109</v>
      </c>
      <c r="G43" s="3" t="s">
        <v>96</v>
      </c>
      <c r="H43" s="3" t="s">
        <v>31</v>
      </c>
      <c r="I43" s="5">
        <v>413</v>
      </c>
    </row>
  </sheetData>
  <dataValidations count="2">
    <dataValidation type="list" allowBlank="1" showInputMessage="1" showErrorMessage="1" sqref="AI3:AI7" xr:uid="{685602E0-5903-4BD6-A6E5-4951F816C810}">
      <formula1>$L$3:$L$7</formula1>
    </dataValidation>
    <dataValidation type="list" allowBlank="1" showInputMessage="1" showErrorMessage="1" sqref="H3:H43" xr:uid="{E10788D5-8571-4A1F-8E57-AB36539E740C}">
      <formula1>$AI$3:$AI$7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6C5B9-99F1-481C-B030-4E80B649749B}">
  <dimension ref="B2:AC47"/>
  <sheetViews>
    <sheetView showGridLines="0" workbookViewId="0">
      <selection activeCell="G12" sqref="G12"/>
    </sheetView>
  </sheetViews>
  <sheetFormatPr defaultRowHeight="15" x14ac:dyDescent="0.25"/>
  <cols>
    <col min="2" max="2" width="10.42578125" bestFit="1" customWidth="1"/>
    <col min="3" max="3" width="11" customWidth="1"/>
    <col min="4" max="4" width="11.42578125" customWidth="1"/>
    <col min="5" max="5" width="21.42578125" bestFit="1" customWidth="1"/>
    <col min="6" max="6" width="23.85546875" bestFit="1" customWidth="1"/>
    <col min="7" max="7" width="39.28515625" customWidth="1"/>
    <col min="8" max="8" width="15.85546875" bestFit="1" customWidth="1"/>
    <col min="9" max="9" width="17.28515625" bestFit="1" customWidth="1"/>
    <col min="10" max="10" width="12.140625" bestFit="1" customWidth="1"/>
    <col min="11" max="11" width="10.7109375" bestFit="1" customWidth="1"/>
    <col min="14" max="14" width="13.28515625" bestFit="1" customWidth="1"/>
  </cols>
  <sheetData>
    <row r="2" spans="2:29" ht="23.25" customHeight="1" thickBot="1" x14ac:dyDescent="0.3"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6</v>
      </c>
      <c r="H2" s="14" t="s">
        <v>113</v>
      </c>
      <c r="I2" s="14" t="s">
        <v>114</v>
      </c>
      <c r="J2" s="14" t="s">
        <v>115</v>
      </c>
      <c r="K2" s="14" t="s">
        <v>118</v>
      </c>
      <c r="AC2" s="1" t="s">
        <v>6</v>
      </c>
    </row>
    <row r="3" spans="2:29" ht="20.25" customHeight="1" thickTop="1" x14ac:dyDescent="0.25">
      <c r="B3" s="3" t="s">
        <v>7</v>
      </c>
      <c r="C3" s="7">
        <v>44928</v>
      </c>
      <c r="D3" s="3">
        <v>400</v>
      </c>
      <c r="E3" s="4" t="s">
        <v>8</v>
      </c>
      <c r="F3" s="3" t="s">
        <v>9</v>
      </c>
      <c r="G3" s="3" t="s">
        <v>11</v>
      </c>
      <c r="H3" s="8">
        <v>9</v>
      </c>
      <c r="I3" s="5">
        <v>224</v>
      </c>
      <c r="J3" s="5">
        <f>H3*I3</f>
        <v>2016</v>
      </c>
      <c r="K3" s="5">
        <f>J3*5%</f>
        <v>100.80000000000001</v>
      </c>
      <c r="AC3" s="3" t="s">
        <v>11</v>
      </c>
    </row>
    <row r="4" spans="2:29" ht="20.25" customHeight="1" x14ac:dyDescent="0.25">
      <c r="B4" s="3" t="s">
        <v>12</v>
      </c>
      <c r="C4" s="7">
        <v>44928</v>
      </c>
      <c r="D4" s="3">
        <v>401</v>
      </c>
      <c r="E4" s="4" t="s">
        <v>13</v>
      </c>
      <c r="F4" s="3" t="s">
        <v>14</v>
      </c>
      <c r="G4" s="3" t="s">
        <v>16</v>
      </c>
      <c r="H4" s="8">
        <v>7</v>
      </c>
      <c r="I4" s="5">
        <v>159</v>
      </c>
      <c r="J4" s="5">
        <f t="shared" ref="J4:J23" si="0">H4*I4</f>
        <v>1113</v>
      </c>
      <c r="K4" s="5">
        <f t="shared" ref="K4:K34" si="1">J4*5%</f>
        <v>55.650000000000006</v>
      </c>
      <c r="N4" s="9">
        <f>SUM(Vendas[Valor Total])</f>
        <v>25382</v>
      </c>
      <c r="AC4" s="3" t="s">
        <v>16</v>
      </c>
    </row>
    <row r="5" spans="2:29" ht="20.25" customHeight="1" x14ac:dyDescent="0.25">
      <c r="B5" s="3" t="s">
        <v>17</v>
      </c>
      <c r="C5" s="7">
        <v>44928</v>
      </c>
      <c r="D5" s="3">
        <v>404</v>
      </c>
      <c r="E5" s="4" t="s">
        <v>8</v>
      </c>
      <c r="F5" s="3" t="s">
        <v>18</v>
      </c>
      <c r="G5" s="3" t="s">
        <v>20</v>
      </c>
      <c r="H5" s="8">
        <v>8</v>
      </c>
      <c r="I5" s="5">
        <v>138</v>
      </c>
      <c r="J5" s="5">
        <f t="shared" si="0"/>
        <v>1104</v>
      </c>
      <c r="K5" s="5">
        <f t="shared" si="1"/>
        <v>55.2</v>
      </c>
      <c r="AC5" s="3" t="s">
        <v>20</v>
      </c>
    </row>
    <row r="6" spans="2:29" ht="20.25" customHeight="1" x14ac:dyDescent="0.25">
      <c r="B6" s="3" t="s">
        <v>21</v>
      </c>
      <c r="C6" s="7">
        <v>44928</v>
      </c>
      <c r="D6" s="3">
        <v>405</v>
      </c>
      <c r="E6" s="4" t="s">
        <v>22</v>
      </c>
      <c r="F6" s="3" t="s">
        <v>23</v>
      </c>
      <c r="G6" s="3" t="s">
        <v>25</v>
      </c>
      <c r="H6" s="8">
        <v>10</v>
      </c>
      <c r="I6" s="5">
        <v>187</v>
      </c>
      <c r="J6" s="5">
        <f t="shared" si="0"/>
        <v>1870</v>
      </c>
      <c r="K6" s="5">
        <f t="shared" si="1"/>
        <v>93.5</v>
      </c>
      <c r="AC6" s="3" t="s">
        <v>25</v>
      </c>
    </row>
    <row r="7" spans="2:29" ht="20.25" customHeight="1" x14ac:dyDescent="0.25">
      <c r="B7" s="3" t="s">
        <v>26</v>
      </c>
      <c r="C7" s="7">
        <v>44928</v>
      </c>
      <c r="D7" s="3">
        <v>405</v>
      </c>
      <c r="E7" s="4" t="s">
        <v>22</v>
      </c>
      <c r="F7" s="3" t="s">
        <v>23</v>
      </c>
      <c r="G7" s="3" t="s">
        <v>16</v>
      </c>
      <c r="H7" s="8">
        <v>4</v>
      </c>
      <c r="I7" s="5">
        <v>177</v>
      </c>
      <c r="J7" s="5">
        <f t="shared" si="0"/>
        <v>708</v>
      </c>
      <c r="K7" s="5">
        <f t="shared" si="1"/>
        <v>35.4</v>
      </c>
      <c r="AC7" s="3" t="s">
        <v>31</v>
      </c>
    </row>
    <row r="8" spans="2:29" ht="20.25" customHeight="1" x14ac:dyDescent="0.25">
      <c r="B8" s="3" t="s">
        <v>28</v>
      </c>
      <c r="C8" s="7">
        <v>44928</v>
      </c>
      <c r="D8" s="3">
        <v>409</v>
      </c>
      <c r="E8" s="4" t="s">
        <v>29</v>
      </c>
      <c r="F8" s="3" t="s">
        <v>30</v>
      </c>
      <c r="G8" s="3" t="s">
        <v>31</v>
      </c>
      <c r="H8" s="8">
        <v>10</v>
      </c>
      <c r="I8" s="5">
        <v>178</v>
      </c>
      <c r="J8" s="5">
        <f t="shared" si="0"/>
        <v>1780</v>
      </c>
      <c r="K8" s="5">
        <f t="shared" si="1"/>
        <v>89</v>
      </c>
    </row>
    <row r="9" spans="2:29" ht="20.25" customHeight="1" x14ac:dyDescent="0.25">
      <c r="B9" s="3" t="s">
        <v>32</v>
      </c>
      <c r="C9" s="7">
        <v>44928</v>
      </c>
      <c r="D9" s="3">
        <v>410</v>
      </c>
      <c r="E9" s="4" t="s">
        <v>29</v>
      </c>
      <c r="F9" s="3" t="s">
        <v>33</v>
      </c>
      <c r="G9" s="3" t="s">
        <v>11</v>
      </c>
      <c r="H9" s="8">
        <v>2</v>
      </c>
      <c r="I9" s="5">
        <v>250</v>
      </c>
      <c r="J9" s="5">
        <f t="shared" si="0"/>
        <v>500</v>
      </c>
      <c r="K9" s="5">
        <f t="shared" si="1"/>
        <v>25</v>
      </c>
    </row>
    <row r="10" spans="2:29" ht="20.25" customHeight="1" x14ac:dyDescent="0.25">
      <c r="B10" s="3" t="s">
        <v>35</v>
      </c>
      <c r="C10" s="7">
        <v>44928</v>
      </c>
      <c r="D10" s="3">
        <v>411</v>
      </c>
      <c r="E10" s="4" t="s">
        <v>36</v>
      </c>
      <c r="F10" s="3" t="s">
        <v>37</v>
      </c>
      <c r="G10" s="3" t="s">
        <v>16</v>
      </c>
      <c r="H10" s="8">
        <v>5</v>
      </c>
      <c r="I10" s="5">
        <v>243</v>
      </c>
      <c r="J10" s="5">
        <f t="shared" si="0"/>
        <v>1215</v>
      </c>
      <c r="K10" s="5">
        <f t="shared" si="1"/>
        <v>60.75</v>
      </c>
    </row>
    <row r="11" spans="2:29" ht="20.25" customHeight="1" x14ac:dyDescent="0.25">
      <c r="B11" s="3" t="s">
        <v>39</v>
      </c>
      <c r="C11" s="7">
        <v>44928</v>
      </c>
      <c r="D11" s="3">
        <v>414</v>
      </c>
      <c r="E11" s="4" t="s">
        <v>36</v>
      </c>
      <c r="F11" s="3" t="s">
        <v>40</v>
      </c>
      <c r="G11" s="3" t="s">
        <v>25</v>
      </c>
      <c r="H11" s="8">
        <v>8</v>
      </c>
      <c r="I11" s="5">
        <v>253</v>
      </c>
      <c r="J11" s="5">
        <f t="shared" si="0"/>
        <v>2024</v>
      </c>
      <c r="K11" s="5">
        <f t="shared" si="1"/>
        <v>101.2</v>
      </c>
    </row>
    <row r="12" spans="2:29" ht="20.25" customHeight="1" x14ac:dyDescent="0.25">
      <c r="B12" s="3" t="s">
        <v>43</v>
      </c>
      <c r="C12" s="7">
        <v>44928</v>
      </c>
      <c r="D12" s="3">
        <v>414</v>
      </c>
      <c r="E12" s="4" t="s">
        <v>36</v>
      </c>
      <c r="F12" s="3" t="s">
        <v>40</v>
      </c>
      <c r="G12" s="3" t="s">
        <v>25</v>
      </c>
      <c r="H12" s="8">
        <v>9</v>
      </c>
      <c r="I12" s="5">
        <v>205</v>
      </c>
      <c r="J12" s="5">
        <f t="shared" si="0"/>
        <v>1845</v>
      </c>
      <c r="K12" s="5">
        <f t="shared" si="1"/>
        <v>92.25</v>
      </c>
    </row>
    <row r="13" spans="2:29" ht="20.25" customHeight="1" x14ac:dyDescent="0.25">
      <c r="B13" s="3" t="s">
        <v>44</v>
      </c>
      <c r="C13" s="7">
        <v>44928</v>
      </c>
      <c r="D13" s="3">
        <v>415</v>
      </c>
      <c r="E13" s="4" t="s">
        <v>45</v>
      </c>
      <c r="F13" s="3" t="s">
        <v>46</v>
      </c>
      <c r="G13" s="3" t="s">
        <v>16</v>
      </c>
      <c r="H13" s="8">
        <v>6</v>
      </c>
      <c r="I13" s="5">
        <v>151</v>
      </c>
      <c r="J13" s="5">
        <f t="shared" si="0"/>
        <v>906</v>
      </c>
      <c r="K13" s="5">
        <f t="shared" si="1"/>
        <v>45.300000000000004</v>
      </c>
    </row>
    <row r="14" spans="2:29" ht="20.25" customHeight="1" x14ac:dyDescent="0.25">
      <c r="B14" s="3" t="s">
        <v>48</v>
      </c>
      <c r="C14" s="7">
        <v>44928</v>
      </c>
      <c r="D14" s="3">
        <v>415</v>
      </c>
      <c r="E14" s="4" t="s">
        <v>45</v>
      </c>
      <c r="F14" s="3" t="s">
        <v>46</v>
      </c>
      <c r="G14" s="3" t="s">
        <v>16</v>
      </c>
      <c r="H14" s="8">
        <v>4</v>
      </c>
      <c r="I14" s="5">
        <v>161</v>
      </c>
      <c r="J14" s="5">
        <f t="shared" si="0"/>
        <v>644</v>
      </c>
      <c r="K14" s="5">
        <f t="shared" si="1"/>
        <v>32.200000000000003</v>
      </c>
    </row>
    <row r="15" spans="2:29" ht="20.25" customHeight="1" x14ac:dyDescent="0.25">
      <c r="B15" s="3" t="s">
        <v>50</v>
      </c>
      <c r="C15" s="7">
        <v>44928</v>
      </c>
      <c r="D15" s="3">
        <v>415</v>
      </c>
      <c r="E15" s="4" t="s">
        <v>45</v>
      </c>
      <c r="F15" s="3" t="s">
        <v>46</v>
      </c>
      <c r="G15" s="3" t="s">
        <v>16</v>
      </c>
      <c r="H15" s="8">
        <v>9</v>
      </c>
      <c r="I15" s="5">
        <v>168</v>
      </c>
      <c r="J15" s="5">
        <f t="shared" si="0"/>
        <v>1512</v>
      </c>
      <c r="K15" s="5">
        <f t="shared" si="1"/>
        <v>75.600000000000009</v>
      </c>
    </row>
    <row r="16" spans="2:29" ht="20.25" customHeight="1" x14ac:dyDescent="0.25">
      <c r="B16" s="3" t="s">
        <v>52</v>
      </c>
      <c r="C16" s="7">
        <v>44928</v>
      </c>
      <c r="D16" s="3">
        <v>415</v>
      </c>
      <c r="E16" s="4" t="s">
        <v>45</v>
      </c>
      <c r="F16" s="3" t="s">
        <v>46</v>
      </c>
      <c r="G16" s="3" t="s">
        <v>16</v>
      </c>
      <c r="H16" s="8">
        <v>5</v>
      </c>
      <c r="I16" s="5">
        <v>102</v>
      </c>
      <c r="J16" s="5">
        <f t="shared" si="0"/>
        <v>510</v>
      </c>
      <c r="K16" s="5">
        <f t="shared" si="1"/>
        <v>25.5</v>
      </c>
    </row>
    <row r="17" spans="2:11" ht="20.25" customHeight="1" x14ac:dyDescent="0.25">
      <c r="B17" s="3" t="s">
        <v>53</v>
      </c>
      <c r="C17" s="7">
        <v>44928</v>
      </c>
      <c r="D17" s="3">
        <v>416</v>
      </c>
      <c r="E17" s="4" t="s">
        <v>29</v>
      </c>
      <c r="F17" s="3" t="s">
        <v>54</v>
      </c>
      <c r="G17" s="3" t="s">
        <v>16</v>
      </c>
      <c r="H17" s="8">
        <v>10</v>
      </c>
      <c r="I17" s="5">
        <v>111</v>
      </c>
      <c r="J17" s="5">
        <f t="shared" si="0"/>
        <v>1110</v>
      </c>
      <c r="K17" s="5">
        <f t="shared" si="1"/>
        <v>55.5</v>
      </c>
    </row>
    <row r="18" spans="2:11" ht="20.25" customHeight="1" x14ac:dyDescent="0.25">
      <c r="B18" s="3" t="s">
        <v>56</v>
      </c>
      <c r="C18" s="7">
        <v>44928</v>
      </c>
      <c r="D18" s="3">
        <v>420</v>
      </c>
      <c r="E18" s="4" t="s">
        <v>45</v>
      </c>
      <c r="F18" s="3" t="s">
        <v>57</v>
      </c>
      <c r="G18" s="3" t="s">
        <v>20</v>
      </c>
      <c r="H18" s="8">
        <v>5</v>
      </c>
      <c r="I18" s="5">
        <v>129</v>
      </c>
      <c r="J18" s="5">
        <f t="shared" si="0"/>
        <v>645</v>
      </c>
      <c r="K18" s="5">
        <f t="shared" si="1"/>
        <v>32.25</v>
      </c>
    </row>
    <row r="19" spans="2:11" ht="20.25" customHeight="1" x14ac:dyDescent="0.25">
      <c r="B19" s="3" t="s">
        <v>59</v>
      </c>
      <c r="C19" s="7">
        <v>44928</v>
      </c>
      <c r="D19" s="3">
        <v>420</v>
      </c>
      <c r="E19" s="4" t="s">
        <v>45</v>
      </c>
      <c r="F19" s="3" t="s">
        <v>57</v>
      </c>
      <c r="G19" s="3" t="s">
        <v>20</v>
      </c>
      <c r="H19" s="8">
        <v>7</v>
      </c>
      <c r="I19" s="5">
        <v>96</v>
      </c>
      <c r="J19" s="5">
        <f t="shared" si="0"/>
        <v>672</v>
      </c>
      <c r="K19" s="5">
        <f t="shared" si="1"/>
        <v>33.6</v>
      </c>
    </row>
    <row r="20" spans="2:11" ht="20.25" customHeight="1" x14ac:dyDescent="0.25">
      <c r="B20" s="3" t="s">
        <v>61</v>
      </c>
      <c r="C20" s="7">
        <v>44928</v>
      </c>
      <c r="D20" s="3">
        <v>420</v>
      </c>
      <c r="E20" s="4" t="s">
        <v>45</v>
      </c>
      <c r="F20" s="3" t="s">
        <v>57</v>
      </c>
      <c r="G20" s="3" t="s">
        <v>20</v>
      </c>
      <c r="H20" s="8">
        <v>2</v>
      </c>
      <c r="I20" s="5">
        <v>243</v>
      </c>
      <c r="J20" s="5">
        <f t="shared" si="0"/>
        <v>486</v>
      </c>
      <c r="K20" s="5">
        <f t="shared" si="1"/>
        <v>24.3</v>
      </c>
    </row>
    <row r="21" spans="2:11" ht="20.25" customHeight="1" x14ac:dyDescent="0.25">
      <c r="B21" s="3" t="s">
        <v>63</v>
      </c>
      <c r="C21" s="7">
        <v>44928</v>
      </c>
      <c r="D21" s="3">
        <v>420</v>
      </c>
      <c r="E21" s="4" t="s">
        <v>45</v>
      </c>
      <c r="F21" s="3" t="s">
        <v>57</v>
      </c>
      <c r="G21" s="3" t="s">
        <v>20</v>
      </c>
      <c r="H21" s="8">
        <v>9</v>
      </c>
      <c r="I21" s="5">
        <v>170</v>
      </c>
      <c r="J21" s="5">
        <f t="shared" si="0"/>
        <v>1530</v>
      </c>
      <c r="K21" s="5">
        <f t="shared" si="1"/>
        <v>76.5</v>
      </c>
    </row>
    <row r="22" spans="2:11" ht="20.25" customHeight="1" x14ac:dyDescent="0.25">
      <c r="B22" s="3" t="s">
        <v>65</v>
      </c>
      <c r="C22" s="7">
        <v>44928</v>
      </c>
      <c r="D22" s="3">
        <v>422</v>
      </c>
      <c r="E22" s="4" t="s">
        <v>13</v>
      </c>
      <c r="F22" s="3" t="s">
        <v>66</v>
      </c>
      <c r="G22" s="3" t="s">
        <v>11</v>
      </c>
      <c r="H22" s="8">
        <v>9</v>
      </c>
      <c r="I22" s="5">
        <v>134</v>
      </c>
      <c r="J22" s="5">
        <f t="shared" si="0"/>
        <v>1206</v>
      </c>
      <c r="K22" s="5">
        <f t="shared" si="1"/>
        <v>60.300000000000004</v>
      </c>
    </row>
    <row r="23" spans="2:11" ht="20.25" customHeight="1" x14ac:dyDescent="0.25">
      <c r="B23" s="15" t="s">
        <v>68</v>
      </c>
      <c r="C23" s="16">
        <v>44928</v>
      </c>
      <c r="D23" s="15">
        <v>422</v>
      </c>
      <c r="E23" s="17" t="s">
        <v>13</v>
      </c>
      <c r="F23" s="15" t="s">
        <v>66</v>
      </c>
      <c r="G23" s="15" t="s">
        <v>11</v>
      </c>
      <c r="H23" s="18">
        <v>3</v>
      </c>
      <c r="I23" s="19">
        <v>162</v>
      </c>
      <c r="J23" s="19">
        <f t="shared" si="0"/>
        <v>486</v>
      </c>
      <c r="K23" s="19">
        <f t="shared" si="1"/>
        <v>24.3</v>
      </c>
    </row>
    <row r="24" spans="2:11" ht="20.25" customHeight="1" x14ac:dyDescent="0.25">
      <c r="B24" s="15" t="s">
        <v>70</v>
      </c>
      <c r="C24" s="7">
        <v>45055</v>
      </c>
      <c r="D24" s="3">
        <v>430</v>
      </c>
      <c r="E24" s="4" t="s">
        <v>120</v>
      </c>
      <c r="F24" s="3" t="s">
        <v>121</v>
      </c>
      <c r="G24" s="3" t="s">
        <v>31</v>
      </c>
      <c r="H24" s="8">
        <v>5</v>
      </c>
      <c r="I24" s="5">
        <v>100</v>
      </c>
      <c r="J24" s="5">
        <f>H24*I24</f>
        <v>500</v>
      </c>
      <c r="K24" s="5">
        <f>J24*5%</f>
        <v>25</v>
      </c>
    </row>
    <row r="25" spans="2:11" ht="20.25" customHeight="1" x14ac:dyDescent="0.25">
      <c r="B25" s="15" t="s">
        <v>71</v>
      </c>
      <c r="C25" s="7">
        <v>45055</v>
      </c>
      <c r="D25" s="3">
        <v>430</v>
      </c>
      <c r="E25" s="4" t="s">
        <v>120</v>
      </c>
      <c r="F25" s="3" t="s">
        <v>121</v>
      </c>
      <c r="G25" s="3" t="s">
        <v>31</v>
      </c>
      <c r="H25" s="8">
        <v>10</v>
      </c>
      <c r="I25" s="5">
        <v>100</v>
      </c>
      <c r="J25" s="5">
        <f>H25*I25</f>
        <v>1000</v>
      </c>
      <c r="K25" s="5">
        <f>J25*5%</f>
        <v>50</v>
      </c>
    </row>
    <row r="26" spans="2:11" ht="20.25" customHeight="1" x14ac:dyDescent="0.25"/>
    <row r="27" spans="2:11" ht="20.25" customHeight="1" x14ac:dyDescent="0.25"/>
    <row r="28" spans="2:11" ht="20.25" customHeight="1" x14ac:dyDescent="0.25"/>
    <row r="29" spans="2:11" ht="20.25" customHeight="1" x14ac:dyDescent="0.25"/>
    <row r="30" spans="2:11" ht="20.25" customHeight="1" x14ac:dyDescent="0.25"/>
    <row r="31" spans="2:11" ht="20.25" customHeight="1" x14ac:dyDescent="0.25"/>
    <row r="32" spans="2:11" ht="20.25" customHeight="1" x14ac:dyDescent="0.25"/>
    <row r="33" ht="20.25" customHeight="1" x14ac:dyDescent="0.25"/>
    <row r="34" ht="20.25" customHeight="1" x14ac:dyDescent="0.25"/>
    <row r="35" ht="20.25" customHeight="1" x14ac:dyDescent="0.25"/>
    <row r="36" ht="20.25" customHeight="1" x14ac:dyDescent="0.25"/>
    <row r="37" ht="20.25" customHeight="1" x14ac:dyDescent="0.25"/>
    <row r="38" ht="20.25" customHeight="1" x14ac:dyDescent="0.25"/>
    <row r="39" ht="20.25" customHeight="1" x14ac:dyDescent="0.25"/>
    <row r="40" ht="20.25" customHeight="1" x14ac:dyDescent="0.25"/>
    <row r="41" ht="20.25" customHeight="1" x14ac:dyDescent="0.25"/>
    <row r="42" ht="20.25" customHeight="1" x14ac:dyDescent="0.25"/>
    <row r="43" ht="20.25" customHeight="1" x14ac:dyDescent="0.25"/>
    <row r="44" ht="20.25" customHeight="1" x14ac:dyDescent="0.25"/>
    <row r="45" ht="20.25" customHeight="1" x14ac:dyDescent="0.25"/>
    <row r="46" ht="20.25" customHeight="1" x14ac:dyDescent="0.25"/>
    <row r="47" ht="20.25" customHeight="1" x14ac:dyDescent="0.25"/>
  </sheetData>
  <phoneticPr fontId="4" type="noConversion"/>
  <dataValidations count="2">
    <dataValidation type="list" allowBlank="1" showInputMessage="1" showErrorMessage="1" sqref="AC3:AC7" xr:uid="{724050C9-A249-44F7-91D9-4F7649E62A4C}">
      <formula1>$K$3:$K$7</formula1>
    </dataValidation>
    <dataValidation type="list" allowBlank="1" showInputMessage="1" showErrorMessage="1" sqref="G3:G25" xr:uid="{E05EA229-ADFA-4146-835A-79362C50B8DC}">
      <formula1>$AC$3:$AC$7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E90F0-7ECB-45AC-B0DF-F8347833BBF9}">
  <dimension ref="B2:R43"/>
  <sheetViews>
    <sheetView showGridLines="0" workbookViewId="0">
      <selection activeCell="K4" sqref="K4"/>
    </sheetView>
  </sheetViews>
  <sheetFormatPr defaultRowHeight="15" x14ac:dyDescent="0.25"/>
  <cols>
    <col min="3" max="4" width="11" customWidth="1"/>
    <col min="5" max="5" width="21.42578125" bestFit="1" customWidth="1"/>
    <col min="6" max="6" width="23.85546875" bestFit="1" customWidth="1"/>
    <col min="7" max="7" width="39.28515625" customWidth="1"/>
    <col min="8" max="8" width="15.85546875" bestFit="1" customWidth="1"/>
    <col min="9" max="9" width="17.28515625" bestFit="1" customWidth="1"/>
    <col min="10" max="10" width="12.140625" bestFit="1" customWidth="1"/>
    <col min="11" max="11" width="14" customWidth="1"/>
    <col min="14" max="14" width="24.7109375" customWidth="1"/>
    <col min="16" max="16" width="24.5703125" customWidth="1"/>
    <col min="18" max="18" width="23.85546875" bestFit="1" customWidth="1"/>
  </cols>
  <sheetData>
    <row r="2" spans="2:18" ht="23.25" customHeight="1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6</v>
      </c>
      <c r="H2" s="2" t="s">
        <v>113</v>
      </c>
      <c r="I2" s="2" t="s">
        <v>114</v>
      </c>
      <c r="J2" s="2" t="s">
        <v>115</v>
      </c>
      <c r="K2" s="2" t="s">
        <v>116</v>
      </c>
      <c r="M2" s="1" t="s">
        <v>117</v>
      </c>
      <c r="N2" s="1" t="s">
        <v>4</v>
      </c>
      <c r="P2" s="1" t="s">
        <v>4</v>
      </c>
      <c r="R2" s="1" t="s">
        <v>4</v>
      </c>
    </row>
    <row r="3" spans="2:18" ht="15.75" thickTop="1" x14ac:dyDescent="0.25">
      <c r="B3" s="3" t="s">
        <v>7</v>
      </c>
      <c r="C3" s="7">
        <v>44928</v>
      </c>
      <c r="D3" s="3">
        <v>400</v>
      </c>
      <c r="E3" s="4" t="s">
        <v>8</v>
      </c>
      <c r="F3" s="3" t="s">
        <v>9</v>
      </c>
      <c r="G3" s="3" t="s">
        <v>11</v>
      </c>
      <c r="H3" s="8">
        <v>9</v>
      </c>
      <c r="I3" s="5">
        <v>224</v>
      </c>
      <c r="J3" s="5">
        <f>H3*I3</f>
        <v>2016</v>
      </c>
      <c r="K3" s="8">
        <f>COUNTIF($F$3:F3,F3)</f>
        <v>1</v>
      </c>
      <c r="M3" s="3">
        <v>1</v>
      </c>
      <c r="N3" s="4" t="str">
        <f>IFERROR(INDEX($F$3:$F$43,MATCH(M3,$K$3:$K$43,0)),"")</f>
        <v>Samuel Costa</v>
      </c>
      <c r="P3" s="4" t="str" cm="1">
        <f t="array" ref="P3:P25">_xlfn.UNIQUE(F3:F43)</f>
        <v>Samuel Costa</v>
      </c>
      <c r="R3" s="3" t="s">
        <v>9</v>
      </c>
    </row>
    <row r="4" spans="2:18" x14ac:dyDescent="0.25">
      <c r="B4" s="3" t="s">
        <v>12</v>
      </c>
      <c r="C4" s="7">
        <v>44928</v>
      </c>
      <c r="D4" s="3">
        <v>401</v>
      </c>
      <c r="E4" s="4" t="s">
        <v>13</v>
      </c>
      <c r="F4" s="3" t="s">
        <v>14</v>
      </c>
      <c r="G4" s="3" t="s">
        <v>16</v>
      </c>
      <c r="H4" s="8">
        <v>7</v>
      </c>
      <c r="I4" s="5">
        <v>159</v>
      </c>
      <c r="J4" s="5">
        <f t="shared" ref="J4:J43" si="0">H4*I4</f>
        <v>1113</v>
      </c>
      <c r="K4" s="8">
        <f>IF(COUNTIF($F$3:F4,F4)=1,MAX($K$3:K3)+1,"")</f>
        <v>2</v>
      </c>
      <c r="M4" s="3">
        <v>2</v>
      </c>
      <c r="N4" s="4" t="str">
        <f>IFERROR(INDEX($F$3:$F$43,MATCH(M4,$K$3:$K$43,0)),"")</f>
        <v>Maria Júlia Marinho</v>
      </c>
      <c r="P4" s="4" t="str">
        <v>Maria Júlia Marinho</v>
      </c>
      <c r="R4" s="3" t="s">
        <v>14</v>
      </c>
    </row>
    <row r="5" spans="2:18" x14ac:dyDescent="0.25">
      <c r="B5" s="3" t="s">
        <v>17</v>
      </c>
      <c r="C5" s="7">
        <v>44928</v>
      </c>
      <c r="D5" s="3">
        <v>404</v>
      </c>
      <c r="E5" s="4" t="s">
        <v>8</v>
      </c>
      <c r="F5" s="3" t="s">
        <v>18</v>
      </c>
      <c r="G5" s="3" t="s">
        <v>20</v>
      </c>
      <c r="H5" s="8">
        <v>8</v>
      </c>
      <c r="I5" s="5">
        <v>138</v>
      </c>
      <c r="J5" s="5">
        <f t="shared" si="0"/>
        <v>1104</v>
      </c>
      <c r="K5" s="8">
        <f>IF(COUNTIF($F$3:F5,F5)=1,MAX($K$3:K4)+1,"")</f>
        <v>3</v>
      </c>
      <c r="M5" s="3">
        <v>3</v>
      </c>
      <c r="N5" s="4" t="str">
        <f>IFERROR(INDEX($F$3:$F$43,MATCH(M5,$K$3:$K$43,0)),"")</f>
        <v>Heitor Nascimento</v>
      </c>
      <c r="P5" s="4" t="str">
        <v>Heitor Nascimento</v>
      </c>
      <c r="R5" s="3" t="s">
        <v>18</v>
      </c>
    </row>
    <row r="6" spans="2:18" x14ac:dyDescent="0.25">
      <c r="B6" s="3" t="s">
        <v>21</v>
      </c>
      <c r="C6" s="7">
        <v>44928</v>
      </c>
      <c r="D6" s="3">
        <v>405</v>
      </c>
      <c r="E6" s="4" t="s">
        <v>22</v>
      </c>
      <c r="F6" s="3" t="s">
        <v>23</v>
      </c>
      <c r="G6" s="3" t="s">
        <v>25</v>
      </c>
      <c r="H6" s="8">
        <v>10</v>
      </c>
      <c r="I6" s="5">
        <v>187</v>
      </c>
      <c r="J6" s="5">
        <f t="shared" si="0"/>
        <v>1870</v>
      </c>
      <c r="K6" s="8">
        <f>IF(COUNTIF($F$3:F6,F6)=1,MAX($K$3:K5)+1,"")</f>
        <v>4</v>
      </c>
      <c r="M6" s="3">
        <v>4</v>
      </c>
      <c r="N6" s="4" t="str">
        <f>IFERROR(INDEX($F$3:$F$43,MATCH(M6,$K$3:$K$43,0)),"")</f>
        <v>Isadora Oliveira</v>
      </c>
      <c r="P6" s="4" t="str">
        <v>Isadora Oliveira</v>
      </c>
      <c r="R6" s="3" t="s">
        <v>23</v>
      </c>
    </row>
    <row r="7" spans="2:18" x14ac:dyDescent="0.25">
      <c r="B7" s="3" t="s">
        <v>26</v>
      </c>
      <c r="C7" s="7">
        <v>44928</v>
      </c>
      <c r="D7" s="3">
        <v>405</v>
      </c>
      <c r="E7" s="4" t="s">
        <v>22</v>
      </c>
      <c r="F7" s="3" t="s">
        <v>23</v>
      </c>
      <c r="G7" s="3" t="s">
        <v>16</v>
      </c>
      <c r="H7" s="8">
        <v>4</v>
      </c>
      <c r="I7" s="5">
        <v>177</v>
      </c>
      <c r="J7" s="5">
        <f t="shared" si="0"/>
        <v>708</v>
      </c>
      <c r="K7" s="8" t="str">
        <f>IF(COUNTIF($F$3:F7,F7)=1,MAX($K$3:K6)+1,"")</f>
        <v/>
      </c>
      <c r="M7" s="3">
        <v>5</v>
      </c>
      <c r="N7" s="4" t="str">
        <f>IFERROR(INDEX($F$3:$F$43,MATCH(M7,$K$3:$K$43,0)),"")</f>
        <v>João Miguel Marinho</v>
      </c>
      <c r="P7" s="4" t="str">
        <v>João Miguel Marinho</v>
      </c>
      <c r="R7" s="3" t="s">
        <v>30</v>
      </c>
    </row>
    <row r="8" spans="2:18" x14ac:dyDescent="0.25">
      <c r="B8" s="3" t="s">
        <v>28</v>
      </c>
      <c r="C8" s="7">
        <v>44928</v>
      </c>
      <c r="D8" s="3">
        <v>409</v>
      </c>
      <c r="E8" s="4" t="s">
        <v>29</v>
      </c>
      <c r="F8" s="3" t="s">
        <v>30</v>
      </c>
      <c r="G8" s="3" t="s">
        <v>31</v>
      </c>
      <c r="H8" s="8">
        <v>10</v>
      </c>
      <c r="I8" s="5">
        <v>178</v>
      </c>
      <c r="J8" s="5">
        <f t="shared" si="0"/>
        <v>1780</v>
      </c>
      <c r="K8" s="8">
        <f>IF(COUNTIF($F$3:F8,F8)=1,MAX($K$3:K7)+1,"")</f>
        <v>5</v>
      </c>
      <c r="M8" s="3">
        <v>6</v>
      </c>
      <c r="N8" s="4" t="str">
        <f>IFERROR(INDEX($F$3:$F$43,MATCH(M8,$K$3:$K$43,0)),"")</f>
        <v>Rafael Safra</v>
      </c>
      <c r="P8" s="4" t="str">
        <v>Rafael Safra</v>
      </c>
      <c r="R8" s="3" t="s">
        <v>33</v>
      </c>
    </row>
    <row r="9" spans="2:18" x14ac:dyDescent="0.25">
      <c r="B9" s="3" t="s">
        <v>32</v>
      </c>
      <c r="C9" s="7">
        <v>44928</v>
      </c>
      <c r="D9" s="3">
        <v>410</v>
      </c>
      <c r="E9" s="4" t="s">
        <v>29</v>
      </c>
      <c r="F9" s="3" t="s">
        <v>33</v>
      </c>
      <c r="G9" s="3" t="s">
        <v>11</v>
      </c>
      <c r="H9" s="8">
        <v>2</v>
      </c>
      <c r="I9" s="5">
        <v>250</v>
      </c>
      <c r="J9" s="5">
        <f t="shared" si="0"/>
        <v>500</v>
      </c>
      <c r="K9" s="8">
        <f>IF(COUNTIF($F$3:F9,F9)=1,MAX($K$3:K8)+1,"")</f>
        <v>6</v>
      </c>
      <c r="M9" s="3">
        <v>7</v>
      </c>
      <c r="N9" s="4" t="str">
        <f>IFERROR(INDEX($F$3:$F$43,MATCH(M9,$K$3:$K$43,0)),"")</f>
        <v>Heitor de Almeida</v>
      </c>
      <c r="P9" s="4" t="str">
        <v>Heitor de Almeida</v>
      </c>
      <c r="R9" s="3" t="s">
        <v>37</v>
      </c>
    </row>
    <row r="10" spans="2:18" x14ac:dyDescent="0.25">
      <c r="B10" s="3" t="s">
        <v>35</v>
      </c>
      <c r="C10" s="7">
        <v>44928</v>
      </c>
      <c r="D10" s="3">
        <v>411</v>
      </c>
      <c r="E10" s="4" t="s">
        <v>36</v>
      </c>
      <c r="F10" s="3" t="s">
        <v>37</v>
      </c>
      <c r="G10" s="3" t="s">
        <v>16</v>
      </c>
      <c r="H10" s="8">
        <v>5</v>
      </c>
      <c r="I10" s="5">
        <v>243</v>
      </c>
      <c r="J10" s="5">
        <f t="shared" si="0"/>
        <v>1215</v>
      </c>
      <c r="K10" s="8">
        <f>IF(COUNTIF($F$3:F10,F10)=1,MAX($K$3:K9)+1,"")</f>
        <v>7</v>
      </c>
      <c r="M10" s="3">
        <v>8</v>
      </c>
      <c r="N10" s="4" t="str">
        <f>IFERROR(INDEX($F$3:$F$43,MATCH(M10,$K$3:$K$43,0)),"")</f>
        <v>Cecília Ribeiro</v>
      </c>
      <c r="P10" s="4" t="str">
        <v>Cecília Ribeiro</v>
      </c>
      <c r="R10" s="3" t="s">
        <v>40</v>
      </c>
    </row>
    <row r="11" spans="2:18" x14ac:dyDescent="0.25">
      <c r="B11" s="3" t="s">
        <v>39</v>
      </c>
      <c r="C11" s="7">
        <v>44928</v>
      </c>
      <c r="D11" s="3">
        <v>414</v>
      </c>
      <c r="E11" s="4" t="s">
        <v>36</v>
      </c>
      <c r="F11" s="3" t="s">
        <v>40</v>
      </c>
      <c r="G11" s="3" t="s">
        <v>25</v>
      </c>
      <c r="H11" s="8">
        <v>8</v>
      </c>
      <c r="I11" s="5">
        <v>253</v>
      </c>
      <c r="J11" s="5">
        <f t="shared" si="0"/>
        <v>2024</v>
      </c>
      <c r="K11" s="8">
        <f>IF(COUNTIF($F$3:F11,F11)=1,MAX($K$3:K10)+1,"")</f>
        <v>8</v>
      </c>
      <c r="M11" s="3">
        <v>9</v>
      </c>
      <c r="N11" s="4" t="str">
        <f>IFERROR(INDEX($F$3:$F$43,MATCH(M11,$K$3:$K$43,0)),"")</f>
        <v>Davi Lima</v>
      </c>
      <c r="P11" s="4" t="str">
        <v>Davi Lima</v>
      </c>
      <c r="R11" s="3" t="s">
        <v>46</v>
      </c>
    </row>
    <row r="12" spans="2:18" x14ac:dyDescent="0.25">
      <c r="B12" s="3" t="s">
        <v>43</v>
      </c>
      <c r="C12" s="7">
        <v>44928</v>
      </c>
      <c r="D12" s="3">
        <v>414</v>
      </c>
      <c r="E12" s="4" t="s">
        <v>36</v>
      </c>
      <c r="F12" s="3" t="s">
        <v>40</v>
      </c>
      <c r="G12" s="3" t="s">
        <v>25</v>
      </c>
      <c r="H12" s="8">
        <v>9</v>
      </c>
      <c r="I12" s="5">
        <v>205</v>
      </c>
      <c r="J12" s="5">
        <f t="shared" si="0"/>
        <v>1845</v>
      </c>
      <c r="K12" s="8" t="str">
        <f>IF(COUNTIF($F$3:F12,F12)=1,MAX($K$3:K11)+1,"")</f>
        <v/>
      </c>
      <c r="M12" s="3">
        <v>10</v>
      </c>
      <c r="N12" s="4" t="str">
        <f>IFERROR(INDEX($F$3:$F$43,MATCH(M12,$K$3:$K$43,0)),"")</f>
        <v>Cledison Nascimento</v>
      </c>
      <c r="P12" s="4" t="str">
        <v>Cledison Nascimento</v>
      </c>
      <c r="R12" s="3" t="s">
        <v>54</v>
      </c>
    </row>
    <row r="13" spans="2:18" x14ac:dyDescent="0.25">
      <c r="B13" s="3" t="s">
        <v>44</v>
      </c>
      <c r="C13" s="7">
        <v>44928</v>
      </c>
      <c r="D13" s="3">
        <v>415</v>
      </c>
      <c r="E13" s="4" t="s">
        <v>45</v>
      </c>
      <c r="F13" s="3" t="s">
        <v>46</v>
      </c>
      <c r="G13" s="3" t="s">
        <v>16</v>
      </c>
      <c r="H13" s="8">
        <v>6</v>
      </c>
      <c r="I13" s="5">
        <v>151</v>
      </c>
      <c r="J13" s="5">
        <f t="shared" si="0"/>
        <v>906</v>
      </c>
      <c r="K13" s="8">
        <f>IF(COUNTIF($F$3:F13,F13)=1,MAX($K$3:K12)+1,"")</f>
        <v>9</v>
      </c>
      <c r="M13" s="3">
        <v>11</v>
      </c>
      <c r="N13" s="4" t="str">
        <f>IFERROR(INDEX($F$3:$F$43,MATCH(M13,$K$3:$K$43,0)),"")</f>
        <v>Maite Lima</v>
      </c>
      <c r="P13" s="4" t="str">
        <v>Maite Lima</v>
      </c>
      <c r="R13" s="3" t="s">
        <v>57</v>
      </c>
    </row>
    <row r="14" spans="2:18" x14ac:dyDescent="0.25">
      <c r="B14" s="3" t="s">
        <v>48</v>
      </c>
      <c r="C14" s="7">
        <v>44928</v>
      </c>
      <c r="D14" s="3">
        <v>415</v>
      </c>
      <c r="E14" s="4" t="s">
        <v>45</v>
      </c>
      <c r="F14" s="3" t="s">
        <v>46</v>
      </c>
      <c r="G14" s="3" t="s">
        <v>16</v>
      </c>
      <c r="H14" s="8">
        <v>4</v>
      </c>
      <c r="I14" s="5">
        <v>161</v>
      </c>
      <c r="J14" s="5">
        <f t="shared" si="0"/>
        <v>644</v>
      </c>
      <c r="K14" s="8" t="str">
        <f>IF(COUNTIF($F$3:F14,F14)=1,MAX($K$3:K13)+1,"")</f>
        <v/>
      </c>
      <c r="M14" s="3">
        <v>12</v>
      </c>
      <c r="N14" s="4" t="str">
        <f>IFERROR(INDEX($F$3:$F$43,MATCH(M14,$K$3:$K$43,0)),"")</f>
        <v>Laura Pereira</v>
      </c>
      <c r="P14" s="4" t="str">
        <v>Laura Pereira</v>
      </c>
      <c r="R14" s="3" t="s">
        <v>66</v>
      </c>
    </row>
    <row r="15" spans="2:18" x14ac:dyDescent="0.25">
      <c r="B15" s="3" t="s">
        <v>50</v>
      </c>
      <c r="C15" s="7">
        <v>44928</v>
      </c>
      <c r="D15" s="3">
        <v>415</v>
      </c>
      <c r="E15" s="4" t="s">
        <v>45</v>
      </c>
      <c r="F15" s="3" t="s">
        <v>120</v>
      </c>
      <c r="G15" s="3" t="s">
        <v>16</v>
      </c>
      <c r="H15" s="8">
        <v>9</v>
      </c>
      <c r="I15" s="5">
        <v>168</v>
      </c>
      <c r="J15" s="5">
        <f t="shared" si="0"/>
        <v>1512</v>
      </c>
      <c r="K15" s="8">
        <f>IF(COUNTIF($F$3:F15,F15)=1,MAX($K$3:K14)+1,"")</f>
        <v>10</v>
      </c>
      <c r="M15" s="3">
        <v>13</v>
      </c>
      <c r="N15" s="4" t="str">
        <f>IFERROR(INDEX($F$3:$F$43,MATCH(M15,$K$3:$K$43,0)),"")</f>
        <v>Maria Clara Alves</v>
      </c>
      <c r="P15" s="4" t="str">
        <v>Maria Clara Alves</v>
      </c>
      <c r="R15" s="3" t="s">
        <v>72</v>
      </c>
    </row>
    <row r="16" spans="2:18" x14ac:dyDescent="0.25">
      <c r="B16" s="3" t="s">
        <v>52</v>
      </c>
      <c r="C16" s="7">
        <v>44928</v>
      </c>
      <c r="D16" s="3">
        <v>415</v>
      </c>
      <c r="E16" s="4" t="s">
        <v>45</v>
      </c>
      <c r="F16" s="3" t="s">
        <v>46</v>
      </c>
      <c r="G16" s="3" t="s">
        <v>16</v>
      </c>
      <c r="H16" s="8">
        <v>5</v>
      </c>
      <c r="I16" s="5">
        <v>102</v>
      </c>
      <c r="J16" s="5">
        <f t="shared" si="0"/>
        <v>510</v>
      </c>
      <c r="K16" s="8" t="str">
        <f>IF(COUNTIF($F$3:F16,F16)=1,MAX($K$3:K15)+1,"")</f>
        <v/>
      </c>
      <c r="M16" s="3">
        <v>14</v>
      </c>
      <c r="N16" s="4" t="str">
        <f>IFERROR(INDEX($F$3:$F$43,MATCH(M16,$K$3:$K$43,0)),"")</f>
        <v>Anthony de Sousa</v>
      </c>
      <c r="P16" s="4" t="str">
        <v>Anthony de Sousa</v>
      </c>
      <c r="R16" s="3" t="s">
        <v>75</v>
      </c>
    </row>
    <row r="17" spans="2:18" x14ac:dyDescent="0.25">
      <c r="B17" s="3" t="s">
        <v>53</v>
      </c>
      <c r="C17" s="7">
        <v>44928</v>
      </c>
      <c r="D17" s="3">
        <v>416</v>
      </c>
      <c r="E17" s="4" t="s">
        <v>29</v>
      </c>
      <c r="F17" s="3" t="s">
        <v>54</v>
      </c>
      <c r="G17" s="3" t="s">
        <v>16</v>
      </c>
      <c r="H17" s="8">
        <v>10</v>
      </c>
      <c r="I17" s="5">
        <v>111</v>
      </c>
      <c r="J17" s="5">
        <f t="shared" si="0"/>
        <v>1110</v>
      </c>
      <c r="K17" s="8">
        <f>IF(COUNTIF($F$3:F17,F17)=1,MAX($K$3:K16)+1,"")</f>
        <v>11</v>
      </c>
      <c r="M17" s="3">
        <v>15</v>
      </c>
      <c r="N17" s="4" t="str">
        <f>IFERROR(INDEX($F$3:$F$43,MATCH(M17,$K$3:$K$43,0)),"")</f>
        <v>Laura Souza</v>
      </c>
      <c r="P17" s="4" t="str">
        <v>Laura Souza</v>
      </c>
      <c r="R17" s="3" t="s">
        <v>80</v>
      </c>
    </row>
    <row r="18" spans="2:18" x14ac:dyDescent="0.25">
      <c r="B18" s="3" t="s">
        <v>56</v>
      </c>
      <c r="C18" s="7">
        <v>44928</v>
      </c>
      <c r="D18" s="3">
        <v>420</v>
      </c>
      <c r="E18" s="4" t="s">
        <v>45</v>
      </c>
      <c r="F18" s="3" t="s">
        <v>57</v>
      </c>
      <c r="G18" s="3" t="s">
        <v>20</v>
      </c>
      <c r="H18" s="8">
        <v>5</v>
      </c>
      <c r="I18" s="5">
        <v>129</v>
      </c>
      <c r="J18" s="5">
        <f t="shared" si="0"/>
        <v>645</v>
      </c>
      <c r="K18" s="8">
        <f>IF(COUNTIF($F$3:F18,F18)=1,MAX($K$3:K17)+1,"")</f>
        <v>12</v>
      </c>
      <c r="M18" s="3">
        <v>16</v>
      </c>
      <c r="N18" s="4" t="str">
        <f>IFERROR(INDEX($F$3:$F$43,MATCH(M18,$K$3:$K$43,0)),"")</f>
        <v>Lorenzo de Oliveira</v>
      </c>
      <c r="P18" s="4" t="str">
        <v>Lorenzo de Oliveira</v>
      </c>
      <c r="R18" s="3" t="s">
        <v>83</v>
      </c>
    </row>
    <row r="19" spans="2:18" x14ac:dyDescent="0.25">
      <c r="B19" s="3" t="s">
        <v>59</v>
      </c>
      <c r="C19" s="7">
        <v>44928</v>
      </c>
      <c r="D19" s="3">
        <v>420</v>
      </c>
      <c r="E19" s="4" t="s">
        <v>45</v>
      </c>
      <c r="F19" s="3" t="s">
        <v>57</v>
      </c>
      <c r="G19" s="3" t="s">
        <v>20</v>
      </c>
      <c r="H19" s="8">
        <v>7</v>
      </c>
      <c r="I19" s="5">
        <v>96</v>
      </c>
      <c r="J19" s="5">
        <f t="shared" si="0"/>
        <v>672</v>
      </c>
      <c r="K19" s="8" t="str">
        <f>IF(COUNTIF($F$3:F19,F19)=1,MAX($K$3:K18)+1,"")</f>
        <v/>
      </c>
      <c r="M19" s="3">
        <v>17</v>
      </c>
      <c r="N19" s="4" t="str">
        <f>IFERROR(INDEX($F$3:$F$43,MATCH(M19,$K$3:$K$43,0)),"")</f>
        <v>Gabriel Rodrigues</v>
      </c>
      <c r="P19" s="4" t="str">
        <v>Gabriel Rodrigues</v>
      </c>
      <c r="R19" s="3" t="s">
        <v>88</v>
      </c>
    </row>
    <row r="20" spans="2:18" x14ac:dyDescent="0.25">
      <c r="B20" s="3" t="s">
        <v>61</v>
      </c>
      <c r="C20" s="7">
        <v>44928</v>
      </c>
      <c r="D20" s="3">
        <v>420</v>
      </c>
      <c r="E20" s="4" t="s">
        <v>45</v>
      </c>
      <c r="F20" s="3" t="s">
        <v>57</v>
      </c>
      <c r="G20" s="3" t="s">
        <v>20</v>
      </c>
      <c r="H20" s="8">
        <v>2</v>
      </c>
      <c r="I20" s="5">
        <v>243</v>
      </c>
      <c r="J20" s="5">
        <f t="shared" si="0"/>
        <v>486</v>
      </c>
      <c r="K20" s="8" t="str">
        <f>IF(COUNTIF($F$3:F20,F20)=1,MAX($K$3:K19)+1,"")</f>
        <v/>
      </c>
      <c r="M20" s="3">
        <v>18</v>
      </c>
      <c r="N20" s="4" t="str">
        <f>IFERROR(INDEX($F$3:$F$43,MATCH(M20,$K$3:$K$43,0)),"")</f>
        <v>Henrique Oliveira</v>
      </c>
      <c r="P20" s="4" t="str">
        <v>Henrique Oliveira</v>
      </c>
      <c r="R20" s="3" t="s">
        <v>90</v>
      </c>
    </row>
    <row r="21" spans="2:18" x14ac:dyDescent="0.25">
      <c r="B21" s="3" t="s">
        <v>63</v>
      </c>
      <c r="C21" s="7">
        <v>44928</v>
      </c>
      <c r="D21" s="3">
        <v>420</v>
      </c>
      <c r="E21" s="4" t="s">
        <v>45</v>
      </c>
      <c r="F21" s="3" t="s">
        <v>57</v>
      </c>
      <c r="G21" s="3" t="s">
        <v>20</v>
      </c>
      <c r="H21" s="8">
        <v>9</v>
      </c>
      <c r="I21" s="5">
        <v>170</v>
      </c>
      <c r="J21" s="5">
        <f t="shared" si="0"/>
        <v>1530</v>
      </c>
      <c r="K21" s="8" t="str">
        <f>IF(COUNTIF($F$3:F21,F21)=1,MAX($K$3:K20)+1,"")</f>
        <v/>
      </c>
      <c r="M21" s="3">
        <v>19</v>
      </c>
      <c r="N21" s="4" t="str">
        <f>IFERROR(INDEX($F$3:$F$43,MATCH(M21,$K$3:$K$43,0)),"")</f>
        <v>Gabriel Marinho</v>
      </c>
      <c r="P21" s="4" t="str">
        <v>Gabriel Marinho</v>
      </c>
      <c r="R21" s="3" t="s">
        <v>93</v>
      </c>
    </row>
    <row r="22" spans="2:18" x14ac:dyDescent="0.25">
      <c r="B22" s="3" t="s">
        <v>65</v>
      </c>
      <c r="C22" s="7">
        <v>44928</v>
      </c>
      <c r="D22" s="3">
        <v>422</v>
      </c>
      <c r="E22" s="4" t="s">
        <v>13</v>
      </c>
      <c r="F22" s="3" t="s">
        <v>66</v>
      </c>
      <c r="G22" s="3" t="s">
        <v>11</v>
      </c>
      <c r="H22" s="8">
        <v>9</v>
      </c>
      <c r="I22" s="5">
        <v>134</v>
      </c>
      <c r="J22" s="5">
        <f t="shared" si="0"/>
        <v>1206</v>
      </c>
      <c r="K22" s="8">
        <f>IF(COUNTIF($F$3:F22,F22)=1,MAX($K$3:K21)+1,"")</f>
        <v>13</v>
      </c>
      <c r="M22" s="3">
        <v>20</v>
      </c>
      <c r="N22" s="4" t="str">
        <f>IFERROR(INDEX($F$3:$F$43,MATCH(M22,$K$3:$K$43,0)),"")</f>
        <v>Isadora Safra</v>
      </c>
      <c r="P22" s="4" t="str">
        <v>Isadora Safra</v>
      </c>
      <c r="R22" s="3" t="s">
        <v>100</v>
      </c>
    </row>
    <row r="23" spans="2:18" x14ac:dyDescent="0.25">
      <c r="B23" s="3" t="s">
        <v>68</v>
      </c>
      <c r="C23" s="7">
        <v>44928</v>
      </c>
      <c r="D23" s="3">
        <v>422</v>
      </c>
      <c r="E23" s="4" t="s">
        <v>13</v>
      </c>
      <c r="F23" s="3" t="s">
        <v>66</v>
      </c>
      <c r="G23" s="3" t="s">
        <v>11</v>
      </c>
      <c r="H23" s="8">
        <v>3</v>
      </c>
      <c r="I23" s="5">
        <v>162</v>
      </c>
      <c r="J23" s="5">
        <f t="shared" si="0"/>
        <v>486</v>
      </c>
      <c r="K23" s="8" t="str">
        <f>IF(COUNTIF($F$3:F23,F23)=1,MAX($K$3:K22)+1,"")</f>
        <v/>
      </c>
      <c r="M23" s="3">
        <v>21</v>
      </c>
      <c r="N23" s="4" t="str">
        <f>IFERROR(INDEX($F$3:$F$43,MATCH(M23,$K$3:$K$43,0)),"")</f>
        <v>Lívia Carvalho</v>
      </c>
      <c r="P23" s="4" t="str">
        <v>Lívia Carvalho</v>
      </c>
      <c r="R23" s="3" t="s">
        <v>103</v>
      </c>
    </row>
    <row r="24" spans="2:18" x14ac:dyDescent="0.25">
      <c r="B24" s="3" t="s">
        <v>70</v>
      </c>
      <c r="C24" s="7">
        <v>44928</v>
      </c>
      <c r="D24" s="3">
        <v>422</v>
      </c>
      <c r="E24" s="4" t="s">
        <v>13</v>
      </c>
      <c r="F24" s="3" t="s">
        <v>66</v>
      </c>
      <c r="G24" s="3" t="s">
        <v>11</v>
      </c>
      <c r="H24" s="8">
        <v>8</v>
      </c>
      <c r="I24" s="5">
        <v>96</v>
      </c>
      <c r="J24" s="5">
        <f t="shared" si="0"/>
        <v>768</v>
      </c>
      <c r="K24" s="8" t="str">
        <f>IF(COUNTIF($F$3:F24,F24)=1,MAX($K$3:K23)+1,"")</f>
        <v/>
      </c>
      <c r="M24" s="3">
        <v>22</v>
      </c>
      <c r="N24" s="4" t="str">
        <f>IFERROR(INDEX($F$3:$F$43,MATCH(M24,$K$3:$K$43,0)),"")</f>
        <v>Antonella Safra</v>
      </c>
      <c r="P24" s="4" t="str">
        <v>Antonella Safra</v>
      </c>
      <c r="R24" s="3" t="s">
        <v>109</v>
      </c>
    </row>
    <row r="25" spans="2:18" x14ac:dyDescent="0.25">
      <c r="B25" s="3" t="s">
        <v>71</v>
      </c>
      <c r="C25" s="7">
        <v>44928</v>
      </c>
      <c r="D25" s="3">
        <v>423</v>
      </c>
      <c r="E25" s="4" t="s">
        <v>13</v>
      </c>
      <c r="F25" s="3" t="s">
        <v>72</v>
      </c>
      <c r="G25" s="3" t="s">
        <v>16</v>
      </c>
      <c r="H25" s="8">
        <v>7</v>
      </c>
      <c r="I25" s="5">
        <v>250</v>
      </c>
      <c r="J25" s="5">
        <f t="shared" si="0"/>
        <v>1750</v>
      </c>
      <c r="K25" s="8">
        <f>IF(COUNTIF($F$3:F25,F25)=1,MAX($K$3:K24)+1,"")</f>
        <v>14</v>
      </c>
      <c r="M25" s="3">
        <v>23</v>
      </c>
      <c r="N25" s="4" t="str">
        <f>IFERROR(INDEX($F$3:$F$43,MATCH(M25,$K$3:$K$43,0)),"")</f>
        <v>Laura Carvalho</v>
      </c>
      <c r="P25" s="4" t="str">
        <v>Laura Carvalho</v>
      </c>
    </row>
    <row r="26" spans="2:18" x14ac:dyDescent="0.25">
      <c r="B26" s="3" t="s">
        <v>74</v>
      </c>
      <c r="C26" s="7">
        <v>44928</v>
      </c>
      <c r="D26" s="3">
        <v>424</v>
      </c>
      <c r="E26" s="4" t="s">
        <v>8</v>
      </c>
      <c r="F26" s="3" t="s">
        <v>75</v>
      </c>
      <c r="G26" s="3" t="s">
        <v>16</v>
      </c>
      <c r="H26" s="8">
        <v>7</v>
      </c>
      <c r="I26" s="5">
        <v>230</v>
      </c>
      <c r="J26" s="5">
        <f t="shared" si="0"/>
        <v>1610</v>
      </c>
      <c r="K26" s="8">
        <f>IF(COUNTIF($F$3:F26,F26)=1,MAX($K$3:K25)+1,"")</f>
        <v>15</v>
      </c>
      <c r="M26" s="3">
        <v>24</v>
      </c>
      <c r="N26" s="4" t="str">
        <f>IFERROR(INDEX($F$3:$F$43,MATCH(M26,$K$3:$K$43,0)),"")</f>
        <v/>
      </c>
      <c r="P26" s="4"/>
    </row>
    <row r="27" spans="2:18" x14ac:dyDescent="0.25">
      <c r="B27" s="3" t="s">
        <v>77</v>
      </c>
      <c r="C27" s="7">
        <v>44928</v>
      </c>
      <c r="D27" s="3">
        <v>424</v>
      </c>
      <c r="E27" s="4" t="s">
        <v>8</v>
      </c>
      <c r="F27" s="3" t="s">
        <v>75</v>
      </c>
      <c r="G27" s="3" t="s">
        <v>16</v>
      </c>
      <c r="H27" s="8">
        <v>1</v>
      </c>
      <c r="I27" s="5">
        <v>173</v>
      </c>
      <c r="J27" s="5">
        <f t="shared" si="0"/>
        <v>173</v>
      </c>
      <c r="K27" s="8" t="str">
        <f>IF(COUNTIF($F$3:F27,F27)=1,MAX($K$3:K26)+1,"")</f>
        <v/>
      </c>
      <c r="M27" s="3">
        <v>25</v>
      </c>
      <c r="N27" s="4" t="str">
        <f>IFERROR(INDEX($F$3:$F$43,MATCH(M27,$K$3:$K$43,0)),"")</f>
        <v/>
      </c>
      <c r="P27" s="4"/>
    </row>
    <row r="28" spans="2:18" x14ac:dyDescent="0.25">
      <c r="B28" s="3" t="s">
        <v>79</v>
      </c>
      <c r="C28" s="7">
        <v>44928</v>
      </c>
      <c r="D28" s="3">
        <v>426</v>
      </c>
      <c r="E28" s="4" t="s">
        <v>13</v>
      </c>
      <c r="F28" s="3" t="s">
        <v>80</v>
      </c>
      <c r="G28" s="3" t="s">
        <v>16</v>
      </c>
      <c r="H28" s="8">
        <v>2</v>
      </c>
      <c r="I28" s="5">
        <v>220</v>
      </c>
      <c r="J28" s="5">
        <f t="shared" si="0"/>
        <v>440</v>
      </c>
      <c r="K28" s="8">
        <f>IF(COUNTIF($F$3:F28,F28)=1,MAX($K$3:K27)+1,"")</f>
        <v>16</v>
      </c>
      <c r="M28" s="3">
        <v>26</v>
      </c>
      <c r="N28" s="4" t="str">
        <f>IFERROR(INDEX($F$3:$F$43,MATCH(M28,$K$3:$K$43,0)),"")</f>
        <v/>
      </c>
      <c r="P28" s="4"/>
    </row>
    <row r="29" spans="2:18" x14ac:dyDescent="0.25">
      <c r="B29" s="3" t="s">
        <v>82</v>
      </c>
      <c r="C29" s="7">
        <v>44928</v>
      </c>
      <c r="D29" s="3">
        <v>427</v>
      </c>
      <c r="E29" s="4" t="s">
        <v>29</v>
      </c>
      <c r="F29" s="3" t="s">
        <v>83</v>
      </c>
      <c r="G29" s="3" t="s">
        <v>25</v>
      </c>
      <c r="H29" s="8">
        <v>6</v>
      </c>
      <c r="I29" s="5">
        <v>109</v>
      </c>
      <c r="J29" s="5">
        <f t="shared" si="0"/>
        <v>654</v>
      </c>
      <c r="K29" s="8">
        <f>IF(COUNTIF($F$3:F29,F29)=1,MAX($K$3:K28)+1,"")</f>
        <v>17</v>
      </c>
      <c r="M29" s="3">
        <v>27</v>
      </c>
      <c r="N29" s="4" t="str">
        <f>IFERROR(INDEX($F$3:$F$43,MATCH(M29,$K$3:$K$43,0)),"")</f>
        <v/>
      </c>
      <c r="P29" s="4"/>
    </row>
    <row r="30" spans="2:18" x14ac:dyDescent="0.25">
      <c r="B30" s="3" t="s">
        <v>84</v>
      </c>
      <c r="C30" s="7">
        <v>44928</v>
      </c>
      <c r="D30" s="3">
        <v>427</v>
      </c>
      <c r="E30" s="4" t="s">
        <v>29</v>
      </c>
      <c r="F30" s="3" t="s">
        <v>83</v>
      </c>
      <c r="G30" s="3" t="s">
        <v>25</v>
      </c>
      <c r="H30" s="8">
        <v>3</v>
      </c>
      <c r="I30" s="5">
        <v>259</v>
      </c>
      <c r="J30" s="5">
        <f t="shared" si="0"/>
        <v>777</v>
      </c>
      <c r="K30" s="8" t="str">
        <f>IF(COUNTIF($F$3:F30,F30)=1,MAX($K$3:K29)+1,"")</f>
        <v/>
      </c>
      <c r="M30" s="3">
        <v>28</v>
      </c>
      <c r="N30" s="4" t="str">
        <f>IFERROR(INDEX($F$3:$F$43,MATCH(M30,$K$3:$K$43,0)),"")</f>
        <v/>
      </c>
      <c r="P30" s="4"/>
    </row>
    <row r="31" spans="2:18" x14ac:dyDescent="0.25">
      <c r="B31" s="3" t="s">
        <v>85</v>
      </c>
      <c r="C31" s="7">
        <v>44928</v>
      </c>
      <c r="D31" s="3">
        <v>427</v>
      </c>
      <c r="E31" s="4" t="s">
        <v>29</v>
      </c>
      <c r="F31" s="3" t="s">
        <v>83</v>
      </c>
      <c r="G31" s="3" t="s">
        <v>25</v>
      </c>
      <c r="H31" s="8">
        <v>3</v>
      </c>
      <c r="I31" s="5">
        <v>247</v>
      </c>
      <c r="J31" s="5">
        <f t="shared" si="0"/>
        <v>741</v>
      </c>
      <c r="K31" s="8" t="str">
        <f>IF(COUNTIF($F$3:F31,F31)=1,MAX($K$3:K30)+1,"")</f>
        <v/>
      </c>
      <c r="M31" s="3">
        <v>29</v>
      </c>
      <c r="N31" s="4" t="str">
        <f>IFERROR(INDEX($F$3:$F$43,MATCH(M31,$K$3:$K$43,0)),"")</f>
        <v/>
      </c>
      <c r="P31" s="4"/>
    </row>
    <row r="32" spans="2:18" x14ac:dyDescent="0.25">
      <c r="B32" s="3" t="s">
        <v>87</v>
      </c>
      <c r="C32" s="7">
        <v>44928</v>
      </c>
      <c r="D32" s="3">
        <v>429</v>
      </c>
      <c r="E32" s="4" t="s">
        <v>36</v>
      </c>
      <c r="F32" s="3" t="s">
        <v>88</v>
      </c>
      <c r="G32" s="3" t="s">
        <v>20</v>
      </c>
      <c r="H32" s="8">
        <v>7</v>
      </c>
      <c r="I32" s="5">
        <v>100</v>
      </c>
      <c r="J32" s="5">
        <f t="shared" si="0"/>
        <v>700</v>
      </c>
      <c r="K32" s="8">
        <f>IF(COUNTIF($F$3:F32,F32)=1,MAX($K$3:K31)+1,"")</f>
        <v>18</v>
      </c>
      <c r="M32" s="3">
        <v>30</v>
      </c>
      <c r="N32" s="4" t="str">
        <f>IFERROR(INDEX($F$3:$F$43,MATCH(M32,$K$3:$K$43,0)),"")</f>
        <v/>
      </c>
      <c r="P32" s="4"/>
    </row>
    <row r="33" spans="2:11" x14ac:dyDescent="0.25">
      <c r="B33" s="3" t="s">
        <v>89</v>
      </c>
      <c r="C33" s="7">
        <v>44928</v>
      </c>
      <c r="D33" s="3">
        <v>430</v>
      </c>
      <c r="E33" s="4" t="s">
        <v>22</v>
      </c>
      <c r="F33" s="3" t="s">
        <v>90</v>
      </c>
      <c r="G33" s="3" t="s">
        <v>20</v>
      </c>
      <c r="H33" s="8">
        <v>4</v>
      </c>
      <c r="I33" s="5">
        <v>160</v>
      </c>
      <c r="J33" s="5">
        <f t="shared" si="0"/>
        <v>640</v>
      </c>
      <c r="K33" s="8">
        <f>IF(COUNTIF($F$3:F33,F33)=1,MAX($K$3:K32)+1,"")</f>
        <v>19</v>
      </c>
    </row>
    <row r="34" spans="2:11" x14ac:dyDescent="0.25">
      <c r="B34" s="3" t="s">
        <v>92</v>
      </c>
      <c r="C34" s="7">
        <v>44928</v>
      </c>
      <c r="D34" s="3">
        <v>432</v>
      </c>
      <c r="E34" s="4" t="s">
        <v>45</v>
      </c>
      <c r="F34" s="3" t="s">
        <v>93</v>
      </c>
      <c r="G34" s="3" t="s">
        <v>20</v>
      </c>
      <c r="H34" s="8">
        <v>8</v>
      </c>
      <c r="I34" s="5">
        <v>166</v>
      </c>
      <c r="J34" s="5">
        <f t="shared" si="0"/>
        <v>1328</v>
      </c>
      <c r="K34" s="8">
        <f>IF(COUNTIF($F$3:F34,F34)=1,MAX($K$3:K33)+1,"")</f>
        <v>20</v>
      </c>
    </row>
    <row r="35" spans="2:11" x14ac:dyDescent="0.25">
      <c r="B35" s="3" t="s">
        <v>95</v>
      </c>
      <c r="C35" s="7">
        <v>44928</v>
      </c>
      <c r="D35" s="3">
        <v>432</v>
      </c>
      <c r="E35" s="4" t="s">
        <v>45</v>
      </c>
      <c r="F35" s="3" t="s">
        <v>93</v>
      </c>
      <c r="G35" s="3" t="s">
        <v>20</v>
      </c>
      <c r="H35" s="8">
        <v>1</v>
      </c>
      <c r="I35" s="5">
        <v>111</v>
      </c>
      <c r="J35" s="5">
        <f t="shared" si="0"/>
        <v>111</v>
      </c>
      <c r="K35" s="8" t="str">
        <f>IF(COUNTIF($F$3:F35,F35)=1,MAX($K$3:K34)+1,"")</f>
        <v/>
      </c>
    </row>
    <row r="36" spans="2:11" x14ac:dyDescent="0.25">
      <c r="B36" s="3" t="s">
        <v>97</v>
      </c>
      <c r="C36" s="7">
        <v>44928</v>
      </c>
      <c r="D36" s="3">
        <v>432</v>
      </c>
      <c r="E36" s="4" t="s">
        <v>45</v>
      </c>
      <c r="F36" s="3" t="s">
        <v>93</v>
      </c>
      <c r="G36" s="3" t="s">
        <v>20</v>
      </c>
      <c r="H36" s="8">
        <v>7</v>
      </c>
      <c r="I36" s="5">
        <v>255</v>
      </c>
      <c r="J36" s="5">
        <f t="shared" si="0"/>
        <v>1785</v>
      </c>
      <c r="K36" s="8" t="str">
        <f>IF(COUNTIF($F$3:F36,F36)=1,MAX($K$3:K35)+1,"")</f>
        <v/>
      </c>
    </row>
    <row r="37" spans="2:11" x14ac:dyDescent="0.25">
      <c r="B37" s="3" t="s">
        <v>99</v>
      </c>
      <c r="C37" s="7">
        <v>44928</v>
      </c>
      <c r="D37" s="3">
        <v>433</v>
      </c>
      <c r="E37" s="4" t="s">
        <v>13</v>
      </c>
      <c r="F37" s="3" t="s">
        <v>100</v>
      </c>
      <c r="G37" s="3" t="s">
        <v>31</v>
      </c>
      <c r="H37" s="8">
        <v>10</v>
      </c>
      <c r="I37" s="5">
        <v>179</v>
      </c>
      <c r="J37" s="5">
        <f t="shared" si="0"/>
        <v>1790</v>
      </c>
      <c r="K37" s="8">
        <f>IF(COUNTIF($F$3:F37,F37)=1,MAX($K$3:K36)+1,"")</f>
        <v>21</v>
      </c>
    </row>
    <row r="38" spans="2:11" x14ac:dyDescent="0.25">
      <c r="B38" s="3" t="s">
        <v>102</v>
      </c>
      <c r="C38" s="7">
        <v>44928</v>
      </c>
      <c r="D38" s="3">
        <v>434</v>
      </c>
      <c r="E38" s="4" t="s">
        <v>29</v>
      </c>
      <c r="F38" s="3" t="s">
        <v>103</v>
      </c>
      <c r="G38" s="3" t="s">
        <v>11</v>
      </c>
      <c r="H38" s="8">
        <v>3</v>
      </c>
      <c r="I38" s="5">
        <v>259</v>
      </c>
      <c r="J38" s="5">
        <f t="shared" si="0"/>
        <v>777</v>
      </c>
      <c r="K38" s="8">
        <f>IF(COUNTIF($F$3:F38,F38)=1,MAX($K$3:K37)+1,"")</f>
        <v>22</v>
      </c>
    </row>
    <row r="39" spans="2:11" x14ac:dyDescent="0.25">
      <c r="B39" s="3" t="s">
        <v>104</v>
      </c>
      <c r="C39" s="7">
        <v>44928</v>
      </c>
      <c r="D39" s="3">
        <v>434</v>
      </c>
      <c r="E39" s="4" t="s">
        <v>29</v>
      </c>
      <c r="F39" s="3" t="s">
        <v>103</v>
      </c>
      <c r="G39" s="3" t="s">
        <v>11</v>
      </c>
      <c r="H39" s="8">
        <v>1</v>
      </c>
      <c r="I39" s="5">
        <v>164</v>
      </c>
      <c r="J39" s="5">
        <f t="shared" si="0"/>
        <v>164</v>
      </c>
      <c r="K39" s="8" t="str">
        <f>IF(COUNTIF($F$3:F39,F39)=1,MAX($K$3:K38)+1,"")</f>
        <v/>
      </c>
    </row>
    <row r="40" spans="2:11" x14ac:dyDescent="0.25">
      <c r="B40" s="3" t="s">
        <v>106</v>
      </c>
      <c r="C40" s="7">
        <v>44928</v>
      </c>
      <c r="D40" s="3">
        <v>434</v>
      </c>
      <c r="E40" s="4" t="s">
        <v>29</v>
      </c>
      <c r="F40" s="3" t="s">
        <v>103</v>
      </c>
      <c r="G40" s="3" t="s">
        <v>11</v>
      </c>
      <c r="H40" s="8">
        <v>6</v>
      </c>
      <c r="I40" s="5">
        <v>221</v>
      </c>
      <c r="J40" s="5">
        <f t="shared" si="0"/>
        <v>1326</v>
      </c>
      <c r="K40" s="8" t="str">
        <f>IF(COUNTIF($F$3:F40,F40)=1,MAX($K$3:K39)+1,"")</f>
        <v/>
      </c>
    </row>
    <row r="41" spans="2:11" x14ac:dyDescent="0.25">
      <c r="B41" s="3" t="s">
        <v>108</v>
      </c>
      <c r="C41" s="7">
        <v>44928</v>
      </c>
      <c r="D41" s="3">
        <v>436</v>
      </c>
      <c r="E41" s="4" t="s">
        <v>22</v>
      </c>
      <c r="F41" s="3" t="s">
        <v>109</v>
      </c>
      <c r="G41" s="3" t="s">
        <v>31</v>
      </c>
      <c r="H41" s="8">
        <v>8</v>
      </c>
      <c r="I41" s="5">
        <v>174</v>
      </c>
      <c r="J41" s="5">
        <f t="shared" si="0"/>
        <v>1392</v>
      </c>
      <c r="K41" s="8">
        <f>IF(COUNTIF($F$3:F41,F41)=1,MAX($K$3:K40)+1,"")</f>
        <v>23</v>
      </c>
    </row>
    <row r="42" spans="2:11" x14ac:dyDescent="0.25">
      <c r="B42" s="3" t="s">
        <v>110</v>
      </c>
      <c r="C42" s="7">
        <v>44928</v>
      </c>
      <c r="D42" s="3">
        <v>436</v>
      </c>
      <c r="E42" s="4" t="s">
        <v>22</v>
      </c>
      <c r="F42" s="3" t="s">
        <v>109</v>
      </c>
      <c r="G42" s="3" t="s">
        <v>31</v>
      </c>
      <c r="H42" s="8">
        <v>5</v>
      </c>
      <c r="I42" s="5">
        <v>134</v>
      </c>
      <c r="J42" s="5">
        <f t="shared" si="0"/>
        <v>670</v>
      </c>
      <c r="K42" s="8" t="str">
        <f>IF(COUNTIF($F$3:F42,F42)=1,MAX($K$3:K41)+1,"")</f>
        <v/>
      </c>
    </row>
    <row r="43" spans="2:11" x14ac:dyDescent="0.25">
      <c r="B43" s="3" t="s">
        <v>112</v>
      </c>
      <c r="C43" s="7">
        <v>44928</v>
      </c>
      <c r="D43" s="3">
        <v>436</v>
      </c>
      <c r="E43" s="4" t="s">
        <v>22</v>
      </c>
      <c r="F43" s="3" t="s">
        <v>109</v>
      </c>
      <c r="G43" s="3" t="s">
        <v>31</v>
      </c>
      <c r="H43" s="8">
        <v>6</v>
      </c>
      <c r="I43" s="5">
        <v>124</v>
      </c>
      <c r="J43" s="5">
        <f t="shared" si="0"/>
        <v>744</v>
      </c>
      <c r="K43" s="8" t="str">
        <f>IF(COUNTIF($F$3:F43,F43)=1,MAX($K$3:K42)+1,"")</f>
        <v/>
      </c>
    </row>
  </sheetData>
  <dataValidations count="1">
    <dataValidation type="list" allowBlank="1" showInputMessage="1" showErrorMessage="1" sqref="G3:G43" xr:uid="{DA60DDB8-6BB9-4BD3-AB4F-B76A9CC8C31A}">
      <formula1>$K$3:$K$7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F3F2-6A94-47B6-8F51-FDEA2C9E6AAB}">
  <dimension ref="B2:O41"/>
  <sheetViews>
    <sheetView showGridLines="0" tabSelected="1" workbookViewId="0">
      <selection activeCell="C6" sqref="C6"/>
    </sheetView>
  </sheetViews>
  <sheetFormatPr defaultRowHeight="15" x14ac:dyDescent="0.25"/>
  <cols>
    <col min="2" max="2" width="11.5703125" customWidth="1"/>
    <col min="3" max="3" width="11" customWidth="1"/>
    <col min="4" max="4" width="11.42578125" customWidth="1"/>
    <col min="5" max="5" width="21.42578125" bestFit="1" customWidth="1"/>
    <col min="6" max="6" width="23.85546875" bestFit="1" customWidth="1"/>
    <col min="7" max="7" width="39.28515625" customWidth="1"/>
    <col min="8" max="8" width="15.85546875" bestFit="1" customWidth="1"/>
    <col min="9" max="9" width="17.28515625" bestFit="1" customWidth="1"/>
    <col min="10" max="10" width="13.28515625" bestFit="1" customWidth="1"/>
    <col min="12" max="12" width="24.7109375" customWidth="1"/>
    <col min="13" max="13" width="21.42578125" bestFit="1" customWidth="1"/>
    <col min="14" max="14" width="9.140625" customWidth="1"/>
    <col min="15" max="15" width="11.85546875" bestFit="1" customWidth="1"/>
  </cols>
  <sheetData>
    <row r="2" spans="2:15" ht="29.25" customHeight="1" thickBot="1" x14ac:dyDescent="0.3"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6</v>
      </c>
      <c r="H2" s="14" t="s">
        <v>113</v>
      </c>
      <c r="I2" s="14" t="s">
        <v>114</v>
      </c>
      <c r="J2" s="14" t="s">
        <v>115</v>
      </c>
      <c r="L2" s="1" t="s">
        <v>3</v>
      </c>
      <c r="M2" s="2" t="s">
        <v>115</v>
      </c>
      <c r="N2" s="2" t="s">
        <v>119</v>
      </c>
      <c r="O2" s="2" t="s">
        <v>118</v>
      </c>
    </row>
    <row r="3" spans="2:15" ht="20.25" customHeight="1" thickTop="1" x14ac:dyDescent="0.25">
      <c r="B3" s="3" t="s">
        <v>7</v>
      </c>
      <c r="C3" s="7">
        <v>44928</v>
      </c>
      <c r="D3" s="3">
        <v>400</v>
      </c>
      <c r="E3" s="4" t="s">
        <v>8</v>
      </c>
      <c r="F3" s="3" t="s">
        <v>9</v>
      </c>
      <c r="G3" s="3" t="s">
        <v>11</v>
      </c>
      <c r="H3" s="8">
        <v>9</v>
      </c>
      <c r="I3" s="5">
        <v>224</v>
      </c>
      <c r="J3" s="5">
        <f>H3*I3</f>
        <v>2016</v>
      </c>
      <c r="L3" s="4" t="s">
        <v>8</v>
      </c>
      <c r="M3" s="10">
        <f>SUMIF(Vendas2[Vendedor],L3,Vendas2[Valor Total])</f>
        <v>14730</v>
      </c>
      <c r="N3" s="12">
        <v>0.05</v>
      </c>
      <c r="O3" s="10">
        <f>M3*N3</f>
        <v>736.5</v>
      </c>
    </row>
    <row r="4" spans="2:15" ht="20.25" customHeight="1" x14ac:dyDescent="0.25">
      <c r="B4" s="3" t="s">
        <v>12</v>
      </c>
      <c r="C4" s="7">
        <v>44928</v>
      </c>
      <c r="D4" s="3">
        <v>401</v>
      </c>
      <c r="E4" s="4" t="s">
        <v>13</v>
      </c>
      <c r="F4" s="3" t="s">
        <v>14</v>
      </c>
      <c r="G4" s="3" t="s">
        <v>16</v>
      </c>
      <c r="H4" s="8">
        <v>7</v>
      </c>
      <c r="I4" s="5">
        <v>159</v>
      </c>
      <c r="J4" s="5">
        <f t="shared" ref="J4:J26" si="0">H4*I4</f>
        <v>1113</v>
      </c>
      <c r="L4" s="4" t="s">
        <v>13</v>
      </c>
      <c r="M4" s="10">
        <f>SUMIF(Vendas2[Vendedor],L4,Vendas2[Valor Total])</f>
        <v>5323</v>
      </c>
      <c r="N4" s="12">
        <v>0.05</v>
      </c>
      <c r="O4" s="10">
        <f t="shared" ref="O4:O8" si="1">M4*N4</f>
        <v>266.15000000000003</v>
      </c>
    </row>
    <row r="5" spans="2:15" ht="20.25" customHeight="1" x14ac:dyDescent="0.25">
      <c r="B5" s="3" t="s">
        <v>17</v>
      </c>
      <c r="C5" s="7">
        <v>44928</v>
      </c>
      <c r="D5" s="3">
        <v>404</v>
      </c>
      <c r="E5" s="4" t="s">
        <v>8</v>
      </c>
      <c r="F5" s="3" t="s">
        <v>18</v>
      </c>
      <c r="G5" s="3" t="s">
        <v>20</v>
      </c>
      <c r="H5" s="8">
        <v>8</v>
      </c>
      <c r="I5" s="5">
        <v>138</v>
      </c>
      <c r="J5" s="5">
        <f t="shared" si="0"/>
        <v>1104</v>
      </c>
      <c r="L5" s="4" t="s">
        <v>22</v>
      </c>
      <c r="M5" s="10">
        <f>SUMIF(Vendas2[Vendedor],L5,Vendas2[Valor Total])</f>
        <v>2578</v>
      </c>
      <c r="N5" s="12">
        <v>0.05</v>
      </c>
      <c r="O5" s="10">
        <f t="shared" si="1"/>
        <v>128.9</v>
      </c>
    </row>
    <row r="6" spans="2:15" ht="20.25" customHeight="1" x14ac:dyDescent="0.25">
      <c r="B6" s="3" t="s">
        <v>21</v>
      </c>
      <c r="C6" s="7">
        <v>44928</v>
      </c>
      <c r="D6" s="3">
        <v>405</v>
      </c>
      <c r="E6" s="4" t="s">
        <v>22</v>
      </c>
      <c r="F6" s="3" t="s">
        <v>23</v>
      </c>
      <c r="G6" s="3" t="s">
        <v>25</v>
      </c>
      <c r="H6" s="8">
        <v>10</v>
      </c>
      <c r="I6" s="5">
        <v>187</v>
      </c>
      <c r="J6" s="5">
        <f t="shared" si="0"/>
        <v>1870</v>
      </c>
      <c r="L6" s="4" t="s">
        <v>29</v>
      </c>
      <c r="M6" s="10">
        <f>SUMIF(Vendas2[Vendedor],L6,Vendas2[Valor Total])</f>
        <v>3390</v>
      </c>
      <c r="N6" s="12">
        <v>0.05</v>
      </c>
      <c r="O6" s="10">
        <f t="shared" si="1"/>
        <v>169.5</v>
      </c>
    </row>
    <row r="7" spans="2:15" ht="20.25" customHeight="1" x14ac:dyDescent="0.25">
      <c r="B7" s="3" t="s">
        <v>26</v>
      </c>
      <c r="C7" s="7">
        <v>44928</v>
      </c>
      <c r="D7" s="3">
        <v>405</v>
      </c>
      <c r="E7" s="4" t="s">
        <v>22</v>
      </c>
      <c r="F7" s="3" t="s">
        <v>23</v>
      </c>
      <c r="G7" s="3" t="s">
        <v>16</v>
      </c>
      <c r="H7" s="8">
        <v>4</v>
      </c>
      <c r="I7" s="5">
        <v>177</v>
      </c>
      <c r="J7" s="5">
        <f t="shared" si="0"/>
        <v>708</v>
      </c>
      <c r="L7" s="4" t="s">
        <v>36</v>
      </c>
      <c r="M7" s="10">
        <f>SUMIF(Vendas2[Vendedor],L7,Vendas2[Valor Total])</f>
        <v>5084</v>
      </c>
      <c r="N7" s="12">
        <v>0.05</v>
      </c>
      <c r="O7" s="10">
        <f t="shared" si="1"/>
        <v>254.20000000000002</v>
      </c>
    </row>
    <row r="8" spans="2:15" ht="20.25" customHeight="1" x14ac:dyDescent="0.25">
      <c r="B8" s="3" t="s">
        <v>28</v>
      </c>
      <c r="C8" s="7">
        <v>44928</v>
      </c>
      <c r="D8" s="3">
        <v>409</v>
      </c>
      <c r="E8" s="4" t="s">
        <v>29</v>
      </c>
      <c r="F8" s="3" t="s">
        <v>30</v>
      </c>
      <c r="G8" s="3" t="s">
        <v>31</v>
      </c>
      <c r="H8" s="8">
        <v>10</v>
      </c>
      <c r="I8" s="5">
        <v>178</v>
      </c>
      <c r="J8" s="5">
        <f t="shared" si="0"/>
        <v>1780</v>
      </c>
      <c r="L8" s="4" t="s">
        <v>45</v>
      </c>
      <c r="M8" s="10">
        <f>SUMIF(Vendas2[Vendedor],L8,Vendas2[Valor Total])</f>
        <v>6905</v>
      </c>
      <c r="N8" s="12">
        <v>0.05</v>
      </c>
      <c r="O8" s="10">
        <f t="shared" si="1"/>
        <v>345.25</v>
      </c>
    </row>
    <row r="9" spans="2:15" ht="20.25" customHeight="1" x14ac:dyDescent="0.25">
      <c r="B9" s="3" t="s">
        <v>32</v>
      </c>
      <c r="C9" s="7">
        <v>44928</v>
      </c>
      <c r="D9" s="3">
        <v>410</v>
      </c>
      <c r="E9" s="4" t="s">
        <v>29</v>
      </c>
      <c r="F9" s="3" t="s">
        <v>33</v>
      </c>
      <c r="G9" s="3" t="s">
        <v>11</v>
      </c>
      <c r="H9" s="8">
        <v>2</v>
      </c>
      <c r="I9" s="5">
        <v>250</v>
      </c>
      <c r="J9" s="5">
        <f t="shared" si="0"/>
        <v>500</v>
      </c>
      <c r="M9" s="11"/>
    </row>
    <row r="10" spans="2:15" ht="20.25" customHeight="1" x14ac:dyDescent="0.25">
      <c r="B10" s="3" t="s">
        <v>35</v>
      </c>
      <c r="C10" s="7">
        <v>44928</v>
      </c>
      <c r="D10" s="3">
        <v>411</v>
      </c>
      <c r="E10" s="4" t="s">
        <v>36</v>
      </c>
      <c r="F10" s="3" t="s">
        <v>37</v>
      </c>
      <c r="G10" s="3" t="s">
        <v>16</v>
      </c>
      <c r="H10" s="8">
        <v>5</v>
      </c>
      <c r="I10" s="5">
        <v>243</v>
      </c>
      <c r="J10" s="5">
        <f t="shared" si="0"/>
        <v>1215</v>
      </c>
    </row>
    <row r="11" spans="2:15" ht="20.25" customHeight="1" x14ac:dyDescent="0.25">
      <c r="B11" s="3" t="s">
        <v>39</v>
      </c>
      <c r="C11" s="7">
        <v>44928</v>
      </c>
      <c r="D11" s="3">
        <v>414</v>
      </c>
      <c r="E11" s="4" t="s">
        <v>36</v>
      </c>
      <c r="F11" s="3" t="s">
        <v>40</v>
      </c>
      <c r="G11" s="3" t="s">
        <v>25</v>
      </c>
      <c r="H11" s="8">
        <v>8</v>
      </c>
      <c r="I11" s="5">
        <v>253</v>
      </c>
      <c r="J11" s="5">
        <f t="shared" si="0"/>
        <v>2024</v>
      </c>
    </row>
    <row r="12" spans="2:15" ht="20.25" customHeight="1" x14ac:dyDescent="0.25">
      <c r="B12" s="3" t="s">
        <v>43</v>
      </c>
      <c r="C12" s="7">
        <v>44928</v>
      </c>
      <c r="D12" s="3">
        <v>414</v>
      </c>
      <c r="E12" s="4" t="s">
        <v>36</v>
      </c>
      <c r="F12" s="3" t="s">
        <v>40</v>
      </c>
      <c r="G12" s="3" t="s">
        <v>25</v>
      </c>
      <c r="H12" s="8">
        <v>9</v>
      </c>
      <c r="I12" s="5">
        <v>205</v>
      </c>
      <c r="J12" s="5">
        <f t="shared" si="0"/>
        <v>1845</v>
      </c>
    </row>
    <row r="13" spans="2:15" ht="20.25" customHeight="1" x14ac:dyDescent="0.25">
      <c r="B13" s="3" t="s">
        <v>44</v>
      </c>
      <c r="C13" s="7">
        <v>44928</v>
      </c>
      <c r="D13" s="3">
        <v>415</v>
      </c>
      <c r="E13" s="4" t="s">
        <v>45</v>
      </c>
      <c r="F13" s="3" t="s">
        <v>46</v>
      </c>
      <c r="G13" s="3" t="s">
        <v>16</v>
      </c>
      <c r="H13" s="8">
        <v>6</v>
      </c>
      <c r="I13" s="5">
        <v>151</v>
      </c>
      <c r="J13" s="5">
        <f t="shared" si="0"/>
        <v>906</v>
      </c>
    </row>
    <row r="14" spans="2:15" ht="20.25" customHeight="1" x14ac:dyDescent="0.25">
      <c r="B14" s="3" t="s">
        <v>48</v>
      </c>
      <c r="C14" s="7">
        <v>44928</v>
      </c>
      <c r="D14" s="3">
        <v>415</v>
      </c>
      <c r="E14" s="4" t="s">
        <v>45</v>
      </c>
      <c r="F14" s="3" t="s">
        <v>46</v>
      </c>
      <c r="G14" s="3" t="s">
        <v>16</v>
      </c>
      <c r="H14" s="8">
        <v>4</v>
      </c>
      <c r="I14" s="5">
        <v>161</v>
      </c>
      <c r="J14" s="5">
        <f t="shared" si="0"/>
        <v>644</v>
      </c>
    </row>
    <row r="15" spans="2:15" ht="20.25" customHeight="1" x14ac:dyDescent="0.25">
      <c r="B15" s="3" t="s">
        <v>50</v>
      </c>
      <c r="C15" s="7">
        <v>44928</v>
      </c>
      <c r="D15" s="3">
        <v>415</v>
      </c>
      <c r="E15" s="4" t="s">
        <v>45</v>
      </c>
      <c r="F15" s="3" t="s">
        <v>46</v>
      </c>
      <c r="G15" s="3" t="s">
        <v>16</v>
      </c>
      <c r="H15" s="8">
        <v>9</v>
      </c>
      <c r="I15" s="5">
        <v>168</v>
      </c>
      <c r="J15" s="5">
        <f t="shared" si="0"/>
        <v>1512</v>
      </c>
    </row>
    <row r="16" spans="2:15" ht="20.25" customHeight="1" x14ac:dyDescent="0.25">
      <c r="B16" s="3" t="s">
        <v>52</v>
      </c>
      <c r="C16" s="7">
        <v>44928</v>
      </c>
      <c r="D16" s="3">
        <v>415</v>
      </c>
      <c r="E16" s="4" t="s">
        <v>45</v>
      </c>
      <c r="F16" s="3" t="s">
        <v>46</v>
      </c>
      <c r="G16" s="3" t="s">
        <v>16</v>
      </c>
      <c r="H16" s="8">
        <v>5</v>
      </c>
      <c r="I16" s="5">
        <v>102</v>
      </c>
      <c r="J16" s="5">
        <f t="shared" si="0"/>
        <v>510</v>
      </c>
    </row>
    <row r="17" spans="2:10" ht="20.25" customHeight="1" x14ac:dyDescent="0.25">
      <c r="B17" s="3" t="s">
        <v>53</v>
      </c>
      <c r="C17" s="7">
        <v>44928</v>
      </c>
      <c r="D17" s="3">
        <v>416</v>
      </c>
      <c r="E17" s="4" t="s">
        <v>29</v>
      </c>
      <c r="F17" s="3" t="s">
        <v>54</v>
      </c>
      <c r="G17" s="3" t="s">
        <v>16</v>
      </c>
      <c r="H17" s="8">
        <v>10</v>
      </c>
      <c r="I17" s="5">
        <v>111</v>
      </c>
      <c r="J17" s="5">
        <f t="shared" si="0"/>
        <v>1110</v>
      </c>
    </row>
    <row r="18" spans="2:10" ht="20.25" customHeight="1" x14ac:dyDescent="0.25">
      <c r="B18" s="3" t="s">
        <v>56</v>
      </c>
      <c r="C18" s="7">
        <v>44928</v>
      </c>
      <c r="D18" s="3">
        <v>420</v>
      </c>
      <c r="E18" s="4" t="s">
        <v>45</v>
      </c>
      <c r="F18" s="3" t="s">
        <v>57</v>
      </c>
      <c r="G18" s="3" t="s">
        <v>20</v>
      </c>
      <c r="H18" s="8">
        <v>5</v>
      </c>
      <c r="I18" s="5">
        <v>129</v>
      </c>
      <c r="J18" s="5">
        <f t="shared" si="0"/>
        <v>645</v>
      </c>
    </row>
    <row r="19" spans="2:10" ht="20.25" customHeight="1" x14ac:dyDescent="0.25">
      <c r="B19" s="3" t="s">
        <v>59</v>
      </c>
      <c r="C19" s="7">
        <v>44928</v>
      </c>
      <c r="D19" s="3">
        <v>420</v>
      </c>
      <c r="E19" s="4" t="s">
        <v>45</v>
      </c>
      <c r="F19" s="3" t="s">
        <v>57</v>
      </c>
      <c r="G19" s="3" t="s">
        <v>20</v>
      </c>
      <c r="H19" s="8">
        <v>7</v>
      </c>
      <c r="I19" s="5">
        <v>96</v>
      </c>
      <c r="J19" s="5">
        <f t="shared" si="0"/>
        <v>672</v>
      </c>
    </row>
    <row r="20" spans="2:10" ht="20.25" customHeight="1" x14ac:dyDescent="0.25">
      <c r="B20" s="3" t="s">
        <v>61</v>
      </c>
      <c r="C20" s="7">
        <v>44928</v>
      </c>
      <c r="D20" s="3">
        <v>420</v>
      </c>
      <c r="E20" s="4" t="s">
        <v>45</v>
      </c>
      <c r="F20" s="3" t="s">
        <v>57</v>
      </c>
      <c r="G20" s="3" t="s">
        <v>20</v>
      </c>
      <c r="H20" s="8">
        <v>2</v>
      </c>
      <c r="I20" s="5">
        <v>243</v>
      </c>
      <c r="J20" s="5">
        <f t="shared" si="0"/>
        <v>486</v>
      </c>
    </row>
    <row r="21" spans="2:10" ht="20.25" customHeight="1" x14ac:dyDescent="0.25">
      <c r="B21" s="3" t="s">
        <v>63</v>
      </c>
      <c r="C21" s="7">
        <v>44928</v>
      </c>
      <c r="D21" s="3">
        <v>420</v>
      </c>
      <c r="E21" s="4" t="s">
        <v>45</v>
      </c>
      <c r="F21" s="3" t="s">
        <v>57</v>
      </c>
      <c r="G21" s="3" t="s">
        <v>20</v>
      </c>
      <c r="H21" s="8">
        <v>9</v>
      </c>
      <c r="I21" s="5">
        <v>170</v>
      </c>
      <c r="J21" s="5">
        <f t="shared" si="0"/>
        <v>1530</v>
      </c>
    </row>
    <row r="22" spans="2:10" ht="20.25" customHeight="1" x14ac:dyDescent="0.25">
      <c r="B22" s="3" t="s">
        <v>65</v>
      </c>
      <c r="C22" s="7">
        <v>44928</v>
      </c>
      <c r="D22" s="3">
        <v>422</v>
      </c>
      <c r="E22" s="4" t="s">
        <v>13</v>
      </c>
      <c r="F22" s="3" t="s">
        <v>66</v>
      </c>
      <c r="G22" s="3" t="s">
        <v>11</v>
      </c>
      <c r="H22" s="8">
        <v>9</v>
      </c>
      <c r="I22" s="5">
        <v>134</v>
      </c>
      <c r="J22" s="5">
        <f t="shared" si="0"/>
        <v>1206</v>
      </c>
    </row>
    <row r="23" spans="2:10" ht="20.25" customHeight="1" x14ac:dyDescent="0.25">
      <c r="B23" s="3" t="s">
        <v>68</v>
      </c>
      <c r="C23" s="7">
        <v>44928</v>
      </c>
      <c r="D23" s="3">
        <v>422</v>
      </c>
      <c r="E23" s="4" t="s">
        <v>13</v>
      </c>
      <c r="F23" s="3" t="s">
        <v>66</v>
      </c>
      <c r="G23" s="3" t="s">
        <v>11</v>
      </c>
      <c r="H23" s="8">
        <v>3</v>
      </c>
      <c r="I23" s="5">
        <v>162</v>
      </c>
      <c r="J23" s="5">
        <f t="shared" si="0"/>
        <v>486</v>
      </c>
    </row>
    <row r="24" spans="2:10" ht="20.25" customHeight="1" x14ac:dyDescent="0.25">
      <c r="B24" s="3" t="s">
        <v>70</v>
      </c>
      <c r="C24" s="7">
        <v>44928</v>
      </c>
      <c r="D24" s="3">
        <v>422</v>
      </c>
      <c r="E24" s="4" t="s">
        <v>13</v>
      </c>
      <c r="F24" s="3" t="s">
        <v>66</v>
      </c>
      <c r="G24" s="3" t="s">
        <v>11</v>
      </c>
      <c r="H24" s="8">
        <v>8</v>
      </c>
      <c r="I24" s="5">
        <v>96</v>
      </c>
      <c r="J24" s="5">
        <f t="shared" si="0"/>
        <v>768</v>
      </c>
    </row>
    <row r="25" spans="2:10" ht="20.25" customHeight="1" x14ac:dyDescent="0.25">
      <c r="B25" s="3" t="s">
        <v>71</v>
      </c>
      <c r="C25" s="7">
        <v>44928</v>
      </c>
      <c r="D25" s="3">
        <v>423</v>
      </c>
      <c r="E25" s="4" t="s">
        <v>13</v>
      </c>
      <c r="F25" s="3" t="s">
        <v>72</v>
      </c>
      <c r="G25" s="3" t="s">
        <v>16</v>
      </c>
      <c r="H25" s="8">
        <v>7</v>
      </c>
      <c r="I25" s="5">
        <v>250</v>
      </c>
      <c r="J25" s="5">
        <f t="shared" si="0"/>
        <v>1750</v>
      </c>
    </row>
    <row r="26" spans="2:10" ht="20.25" customHeight="1" x14ac:dyDescent="0.25">
      <c r="B26" s="3" t="s">
        <v>74</v>
      </c>
      <c r="C26" s="7">
        <v>44928</v>
      </c>
      <c r="D26" s="3">
        <v>424</v>
      </c>
      <c r="E26" s="4" t="s">
        <v>8</v>
      </c>
      <c r="F26" s="3" t="s">
        <v>75</v>
      </c>
      <c r="G26" s="3" t="s">
        <v>16</v>
      </c>
      <c r="H26" s="8">
        <v>7</v>
      </c>
      <c r="I26" s="5">
        <v>230</v>
      </c>
      <c r="J26" s="5">
        <f t="shared" si="0"/>
        <v>1610</v>
      </c>
    </row>
    <row r="27" spans="2:10" ht="20.25" customHeight="1" x14ac:dyDescent="0.25">
      <c r="B27" s="3" t="s">
        <v>77</v>
      </c>
      <c r="C27" s="7">
        <v>45055</v>
      </c>
      <c r="D27" s="3">
        <v>425</v>
      </c>
      <c r="E27" s="4" t="s">
        <v>8</v>
      </c>
      <c r="F27" s="3" t="s">
        <v>121</v>
      </c>
      <c r="G27" s="3" t="s">
        <v>31</v>
      </c>
      <c r="H27" s="8">
        <v>10</v>
      </c>
      <c r="I27" s="5">
        <v>1000</v>
      </c>
      <c r="J27" s="5">
        <f>H27*I27</f>
        <v>10000</v>
      </c>
    </row>
    <row r="28" spans="2:10" ht="20.25" customHeight="1" x14ac:dyDescent="0.25"/>
    <row r="29" spans="2:10" ht="20.25" customHeight="1" x14ac:dyDescent="0.25"/>
    <row r="30" spans="2:10" ht="20.25" customHeight="1" x14ac:dyDescent="0.25"/>
    <row r="31" spans="2:10" ht="20.25" customHeight="1" x14ac:dyDescent="0.25"/>
    <row r="32" spans="2:10" ht="20.25" customHeight="1" x14ac:dyDescent="0.25"/>
    <row r="33" ht="20.25" customHeight="1" x14ac:dyDescent="0.25"/>
    <row r="34" ht="20.25" customHeight="1" x14ac:dyDescent="0.25"/>
    <row r="35" ht="20.25" customHeight="1" x14ac:dyDescent="0.25"/>
    <row r="36" ht="20.25" customHeight="1" x14ac:dyDescent="0.25"/>
    <row r="37" ht="20.25" customHeight="1" x14ac:dyDescent="0.25"/>
    <row r="38" ht="20.25" customHeight="1" x14ac:dyDescent="0.25"/>
    <row r="39" ht="20.25" customHeight="1" x14ac:dyDescent="0.25"/>
    <row r="40" ht="20.25" customHeight="1" x14ac:dyDescent="0.25"/>
    <row r="41" ht="20.25" customHeight="1" x14ac:dyDescent="0.25"/>
  </sheetData>
  <phoneticPr fontId="4" type="noConversion"/>
  <dataValidations count="1">
    <dataValidation type="list" allowBlank="1" showInputMessage="1" showErrorMessage="1" sqref="E3:E27" xr:uid="{D696C67F-0550-467B-90CE-56C4F1E7088B}">
      <formula1>$L$3:$L$8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Vertical x Horizontal</vt:lpstr>
      <vt:lpstr>Formatação condicional</vt:lpstr>
      <vt:lpstr>Tabela</vt:lpstr>
      <vt:lpstr>Fórmulas Gigantes</vt:lpstr>
      <vt:lpstr>Validação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Cledison Nascimento</dc:creator>
  <cp:lastModifiedBy>Cledison Nascimento</cp:lastModifiedBy>
  <dcterms:created xsi:type="dcterms:W3CDTF">2023-05-09T13:23:44Z</dcterms:created>
  <dcterms:modified xsi:type="dcterms:W3CDTF">2023-05-09T18:55:17Z</dcterms:modified>
</cp:coreProperties>
</file>