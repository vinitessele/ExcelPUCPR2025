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riverGoogle\VNT - Sistemas\Curso Excel PUC PR 2025\"/>
    </mc:Choice>
  </mc:AlternateContent>
  <xr:revisionPtr revIDLastSave="0" documentId="13_ncr:1_{F2D28E3A-7CBF-44D4-B41B-7583CF708607}" xr6:coauthVersionLast="47" xr6:coauthVersionMax="47" xr10:uidLastSave="{00000000-0000-0000-0000-000000000000}"/>
  <bookViews>
    <workbookView xWindow="-108" yWindow="-108" windowWidth="23256" windowHeight="12456" firstSheet="11" activeTab="19" xr2:uid="{B57EA019-577E-4EF0-92FA-610D16916514}"/>
  </bookViews>
  <sheets>
    <sheet name="Menu" sheetId="1" r:id="rId1"/>
    <sheet name="Formatação Condicional" sheetId="10" r:id="rId2"/>
    <sheet name="Formatação Condicional2" sheetId="11" r:id="rId3"/>
    <sheet name="Formatação Condicional 2" sheetId="12" r:id="rId4"/>
    <sheet name="Formatação condicional icones" sheetId="17" r:id="rId5"/>
    <sheet name="Formatação Condicional 3" sheetId="18" r:id="rId6"/>
    <sheet name="Validação de Dados Opções" sheetId="19" r:id="rId7"/>
    <sheet name="Lista de Compras" sheetId="20" r:id="rId8"/>
    <sheet name="Produto" sheetId="13" r:id="rId9"/>
    <sheet name="Pedido" sheetId="14" r:id="rId10"/>
    <sheet name="Subtotal" sheetId="15" r:id="rId11"/>
    <sheet name="Subtotal1" sheetId="16" r:id="rId12"/>
    <sheet name="ProcV" sheetId="2" r:id="rId13"/>
    <sheet name="ProcV2" sheetId="4" r:id="rId14"/>
    <sheet name="ProcV3" sheetId="7" r:id="rId15"/>
    <sheet name="ProcH" sheetId="8" r:id="rId16"/>
    <sheet name="ProcX" sheetId="9" r:id="rId17"/>
    <sheet name="Indice+Corresp" sheetId="5" r:id="rId18"/>
    <sheet name="ProcV e ProcH" sheetId="6" r:id="rId19"/>
    <sheet name="Filtros" sheetId="21" r:id="rId20"/>
  </sheets>
  <definedNames>
    <definedName name="_xlnm._FilterDatabase" localSheetId="19" hidden="1">Filtros!$C:$C</definedName>
    <definedName name="_xlnm.Extract" localSheetId="19">Filtros!#REF!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8" l="1"/>
  <c r="H4" i="4"/>
  <c r="I17" i="2"/>
  <c r="I15" i="2"/>
  <c r="K15" i="2"/>
  <c r="K14" i="2"/>
  <c r="I9" i="2"/>
  <c r="E9" i="2"/>
  <c r="D9" i="2"/>
  <c r="F705" i="21"/>
  <c r="F704" i="21"/>
  <c r="F703" i="21"/>
  <c r="F702" i="21"/>
  <c r="F701" i="21"/>
  <c r="F700" i="21"/>
  <c r="F699" i="21"/>
  <c r="F698" i="21"/>
  <c r="F697" i="21"/>
  <c r="F696" i="21"/>
  <c r="F695" i="21"/>
  <c r="F694" i="21"/>
  <c r="F693" i="21"/>
  <c r="F692" i="21"/>
  <c r="F691" i="21"/>
  <c r="F690" i="21"/>
  <c r="F689" i="21"/>
  <c r="F688" i="21"/>
  <c r="F687" i="21"/>
  <c r="F686" i="21"/>
  <c r="F685" i="21"/>
  <c r="F684" i="21"/>
  <c r="F683" i="21"/>
  <c r="F682" i="21"/>
  <c r="F681" i="21"/>
  <c r="F680" i="21"/>
  <c r="F679" i="21"/>
  <c r="F678" i="21"/>
  <c r="F677" i="21"/>
  <c r="F676" i="21"/>
  <c r="F675" i="21"/>
  <c r="F674" i="21"/>
  <c r="F673" i="21"/>
  <c r="F672" i="21"/>
  <c r="F671" i="21"/>
  <c r="F670" i="21"/>
  <c r="F669" i="21"/>
  <c r="F668" i="21"/>
  <c r="F667" i="21"/>
  <c r="F666" i="21"/>
  <c r="F665" i="21"/>
  <c r="F664" i="21"/>
  <c r="F663" i="21"/>
  <c r="F662" i="21"/>
  <c r="F661" i="21"/>
  <c r="F660" i="21"/>
  <c r="F659" i="21"/>
  <c r="F658" i="21"/>
  <c r="F657" i="21"/>
  <c r="F656" i="21"/>
  <c r="F655" i="21"/>
  <c r="F654" i="21"/>
  <c r="F653" i="21"/>
  <c r="F652" i="21"/>
  <c r="F651" i="21"/>
  <c r="F650" i="21"/>
  <c r="F649" i="21"/>
  <c r="F648" i="21"/>
  <c r="F647" i="21"/>
  <c r="F646" i="21"/>
  <c r="F645" i="21"/>
  <c r="F644" i="21"/>
  <c r="F643" i="21"/>
  <c r="F642" i="21"/>
  <c r="F641" i="21"/>
  <c r="F640" i="21"/>
  <c r="F639" i="21"/>
  <c r="F638" i="21"/>
  <c r="F637" i="21"/>
  <c r="F636" i="21"/>
  <c r="F635" i="21"/>
  <c r="F634" i="21"/>
  <c r="F633" i="21"/>
  <c r="F632" i="21"/>
  <c r="F631" i="21"/>
  <c r="F630" i="21"/>
  <c r="F629" i="21"/>
  <c r="F628" i="21"/>
  <c r="F627" i="21"/>
  <c r="F626" i="21"/>
  <c r="F625" i="21"/>
  <c r="F624" i="21"/>
  <c r="F623" i="21"/>
  <c r="F622" i="21"/>
  <c r="F621" i="21"/>
  <c r="F620" i="21"/>
  <c r="F619" i="21"/>
  <c r="F618" i="21"/>
  <c r="F617" i="21"/>
  <c r="F616" i="21"/>
  <c r="F615" i="21"/>
  <c r="F614" i="21"/>
  <c r="F613" i="21"/>
  <c r="F612" i="21"/>
  <c r="F611" i="21"/>
  <c r="F610" i="21"/>
  <c r="F609" i="21"/>
  <c r="F608" i="21"/>
  <c r="F607" i="21"/>
  <c r="F606" i="21"/>
  <c r="F605" i="21"/>
  <c r="F604" i="21"/>
  <c r="F603" i="21"/>
  <c r="F602" i="21"/>
  <c r="F601" i="21"/>
  <c r="F600" i="21"/>
  <c r="F599" i="21"/>
  <c r="F598" i="21"/>
  <c r="F597" i="21"/>
  <c r="F596" i="21"/>
  <c r="F595" i="21"/>
  <c r="F594" i="21"/>
  <c r="F593" i="21"/>
  <c r="F592" i="21"/>
  <c r="F591" i="21"/>
  <c r="F590" i="21"/>
  <c r="F589" i="21"/>
  <c r="F588" i="21"/>
  <c r="F587" i="21"/>
  <c r="F586" i="21"/>
  <c r="F585" i="21"/>
  <c r="F584" i="21"/>
  <c r="F583" i="21"/>
  <c r="F582" i="21"/>
  <c r="F581" i="21"/>
  <c r="F580" i="21"/>
  <c r="F579" i="21"/>
  <c r="F578" i="21"/>
  <c r="F577" i="21"/>
  <c r="F576" i="21"/>
  <c r="F575" i="21"/>
  <c r="F574" i="21"/>
  <c r="F573" i="21"/>
  <c r="F572" i="21"/>
  <c r="F571" i="21"/>
  <c r="F570" i="21"/>
  <c r="F569" i="21"/>
  <c r="F568" i="21"/>
  <c r="F567" i="21"/>
  <c r="F566" i="21"/>
  <c r="F565" i="21"/>
  <c r="F564" i="21"/>
  <c r="F563" i="21"/>
  <c r="F562" i="21"/>
  <c r="F561" i="21"/>
  <c r="F560" i="21"/>
  <c r="F559" i="21"/>
  <c r="F558" i="21"/>
  <c r="F557" i="21"/>
  <c r="F556" i="21"/>
  <c r="F555" i="21"/>
  <c r="F554" i="21"/>
  <c r="F553" i="21"/>
  <c r="F552" i="21"/>
  <c r="F551" i="21"/>
  <c r="F550" i="21"/>
  <c r="F549" i="21"/>
  <c r="F548" i="21"/>
  <c r="F547" i="21"/>
  <c r="F546" i="21"/>
  <c r="F545" i="21"/>
  <c r="F544" i="21"/>
  <c r="F543" i="21"/>
  <c r="F542" i="21"/>
  <c r="F541" i="21"/>
  <c r="F540" i="21"/>
  <c r="F539" i="21"/>
  <c r="F538" i="21"/>
  <c r="F537" i="21"/>
  <c r="F536" i="21"/>
  <c r="F535" i="21"/>
  <c r="F534" i="21"/>
  <c r="F533" i="21"/>
  <c r="F532" i="21"/>
  <c r="F531" i="21"/>
  <c r="F530" i="21"/>
  <c r="F529" i="21"/>
  <c r="F528" i="21"/>
  <c r="F527" i="21"/>
  <c r="F526" i="21"/>
  <c r="F525" i="21"/>
  <c r="F524" i="21"/>
  <c r="F523" i="21"/>
  <c r="F522" i="21"/>
  <c r="F521" i="21"/>
  <c r="F520" i="21"/>
  <c r="F519" i="21"/>
  <c r="F518" i="21"/>
  <c r="F517" i="21"/>
  <c r="F516" i="21"/>
  <c r="F515" i="21"/>
  <c r="F514" i="21"/>
  <c r="F513" i="21"/>
  <c r="F512" i="21"/>
  <c r="F511" i="21"/>
  <c r="F510" i="21"/>
  <c r="F509" i="21"/>
  <c r="F508" i="21"/>
  <c r="F507" i="21"/>
  <c r="F506" i="21"/>
  <c r="F505" i="21"/>
  <c r="F504" i="21"/>
  <c r="F503" i="21"/>
  <c r="F502" i="21"/>
  <c r="F501" i="21"/>
  <c r="F500" i="21"/>
  <c r="F499" i="21"/>
  <c r="F498" i="21"/>
  <c r="F497" i="21"/>
  <c r="F496" i="21"/>
  <c r="F495" i="21"/>
  <c r="F494" i="21"/>
  <c r="F493" i="21"/>
  <c r="F492" i="21"/>
  <c r="F491" i="21"/>
  <c r="F490" i="21"/>
  <c r="F489" i="21"/>
  <c r="F488" i="21"/>
  <c r="F487" i="21"/>
  <c r="F486" i="21"/>
  <c r="F485" i="21"/>
  <c r="F484" i="21"/>
  <c r="F483" i="21"/>
  <c r="F482" i="21"/>
  <c r="F481" i="21"/>
  <c r="F480" i="21"/>
  <c r="F479" i="21"/>
  <c r="F478" i="21"/>
  <c r="F477" i="21"/>
  <c r="F476" i="21"/>
  <c r="F475" i="21"/>
  <c r="F474" i="21"/>
  <c r="F473" i="21"/>
  <c r="F472" i="21"/>
  <c r="F471" i="21"/>
  <c r="F470" i="21"/>
  <c r="F469" i="21"/>
  <c r="F468" i="21"/>
  <c r="F467" i="21"/>
  <c r="F466" i="21"/>
  <c r="F465" i="21"/>
  <c r="F464" i="21"/>
  <c r="F463" i="21"/>
  <c r="F462" i="21"/>
  <c r="F461" i="21"/>
  <c r="F460" i="21"/>
  <c r="F459" i="21"/>
  <c r="F458" i="21"/>
  <c r="F457" i="21"/>
  <c r="F456" i="21"/>
  <c r="F455" i="21"/>
  <c r="F454" i="21"/>
  <c r="F453" i="21"/>
  <c r="F452" i="21"/>
  <c r="F451" i="21"/>
  <c r="F450" i="21"/>
  <c r="F449" i="21"/>
  <c r="F448" i="21"/>
  <c r="F447" i="21"/>
  <c r="F446" i="21"/>
  <c r="F445" i="21"/>
  <c r="F444" i="21"/>
  <c r="F443" i="21"/>
  <c r="F442" i="21"/>
  <c r="F441" i="21"/>
  <c r="F440" i="21"/>
  <c r="F439" i="21"/>
  <c r="F438" i="21"/>
  <c r="F437" i="21"/>
  <c r="F436" i="21"/>
  <c r="F435" i="21"/>
  <c r="F434" i="21"/>
  <c r="F433" i="21"/>
  <c r="F432" i="21"/>
  <c r="F431" i="21"/>
  <c r="F430" i="21"/>
  <c r="F429" i="21"/>
  <c r="F428" i="21"/>
  <c r="F427" i="21"/>
  <c r="F426" i="21"/>
  <c r="F425" i="21"/>
  <c r="F424" i="21"/>
  <c r="F423" i="21"/>
  <c r="F422" i="21"/>
  <c r="F421" i="21"/>
  <c r="F420" i="21"/>
  <c r="F419" i="21"/>
  <c r="F418" i="21"/>
  <c r="F417" i="21"/>
  <c r="F416" i="21"/>
  <c r="F415" i="21"/>
  <c r="F414" i="21"/>
  <c r="F413" i="21"/>
  <c r="F412" i="21"/>
  <c r="F411" i="21"/>
  <c r="F410" i="21"/>
  <c r="F409" i="21"/>
  <c r="F408" i="21"/>
  <c r="F407" i="21"/>
  <c r="F406" i="21"/>
  <c r="F405" i="21"/>
  <c r="F404" i="21"/>
  <c r="F403" i="21"/>
  <c r="F402" i="21"/>
  <c r="F401" i="21"/>
  <c r="F400" i="21"/>
  <c r="F399" i="21"/>
  <c r="F398" i="21"/>
  <c r="F397" i="21"/>
  <c r="F396" i="21"/>
  <c r="F395" i="21"/>
  <c r="F394" i="21"/>
  <c r="F393" i="21"/>
  <c r="F392" i="21"/>
  <c r="F391" i="21"/>
  <c r="F390" i="21"/>
  <c r="F389" i="21"/>
  <c r="F388" i="21"/>
  <c r="F387" i="21"/>
  <c r="F386" i="21"/>
  <c r="F385" i="21"/>
  <c r="F384" i="21"/>
  <c r="F383" i="21"/>
  <c r="F382" i="21"/>
  <c r="F381" i="21"/>
  <c r="F380" i="21"/>
  <c r="F379" i="21"/>
  <c r="F378" i="21"/>
  <c r="F377" i="21"/>
  <c r="F376" i="21"/>
  <c r="F375" i="21"/>
  <c r="F374" i="21"/>
  <c r="F373" i="21"/>
  <c r="F372" i="21"/>
  <c r="F371" i="21"/>
  <c r="F370" i="21"/>
  <c r="F369" i="21"/>
  <c r="F368" i="21"/>
  <c r="F367" i="21"/>
  <c r="F366" i="21"/>
  <c r="F365" i="21"/>
  <c r="F364" i="21"/>
  <c r="F363" i="21"/>
  <c r="F362" i="21"/>
  <c r="F361" i="21"/>
  <c r="F360" i="21"/>
  <c r="F359" i="21"/>
  <c r="F358" i="21"/>
  <c r="F357" i="21"/>
  <c r="F356" i="21"/>
  <c r="F355" i="21"/>
  <c r="F354" i="21"/>
  <c r="F353" i="21"/>
  <c r="F352" i="21"/>
  <c r="F351" i="21"/>
  <c r="F350" i="21"/>
  <c r="F349" i="21"/>
  <c r="F348" i="21"/>
  <c r="F347" i="21"/>
  <c r="F346" i="21"/>
  <c r="F345" i="21"/>
  <c r="F344" i="21"/>
  <c r="F343" i="21"/>
  <c r="F342" i="21"/>
  <c r="F341" i="21"/>
  <c r="F340" i="21"/>
  <c r="F339" i="21"/>
  <c r="F338" i="21"/>
  <c r="F337" i="21"/>
  <c r="F336" i="21"/>
  <c r="F335" i="21"/>
  <c r="F334" i="21"/>
  <c r="F333" i="21"/>
  <c r="F332" i="21"/>
  <c r="F331" i="21"/>
  <c r="F330" i="21"/>
  <c r="F329" i="21"/>
  <c r="F328" i="21"/>
  <c r="F327" i="21"/>
  <c r="F326" i="21"/>
  <c r="F325" i="21"/>
  <c r="F324" i="21"/>
  <c r="F323" i="21"/>
  <c r="F322" i="21"/>
  <c r="F321" i="21"/>
  <c r="F320" i="21"/>
  <c r="F319" i="21"/>
  <c r="F318" i="21"/>
  <c r="F317" i="21"/>
  <c r="F316" i="21"/>
  <c r="F315" i="21"/>
  <c r="F314" i="21"/>
  <c r="F313" i="21"/>
  <c r="F312" i="21"/>
  <c r="F311" i="21"/>
  <c r="F310" i="21"/>
  <c r="F309" i="21"/>
  <c r="F308" i="21"/>
  <c r="F307" i="21"/>
  <c r="F306" i="21"/>
  <c r="F305" i="21"/>
  <c r="F304" i="21"/>
  <c r="F303" i="21"/>
  <c r="F302" i="21"/>
  <c r="F301" i="21"/>
  <c r="F300" i="21"/>
  <c r="F299" i="21"/>
  <c r="F298" i="21"/>
  <c r="F297" i="21"/>
  <c r="F296" i="21"/>
  <c r="F295" i="21"/>
  <c r="F294" i="21"/>
  <c r="F293" i="21"/>
  <c r="F292" i="21"/>
  <c r="F291" i="21"/>
  <c r="F290" i="21"/>
  <c r="F289" i="21"/>
  <c r="F288" i="21"/>
  <c r="F287" i="21"/>
  <c r="F286" i="21"/>
  <c r="F285" i="21"/>
  <c r="F284" i="21"/>
  <c r="F283" i="21"/>
  <c r="F282" i="21"/>
  <c r="F281" i="21"/>
  <c r="F280" i="21"/>
  <c r="F279" i="21"/>
  <c r="F278" i="21"/>
  <c r="F277" i="21"/>
  <c r="F276" i="21"/>
  <c r="F275" i="21"/>
  <c r="F274" i="21"/>
  <c r="F273" i="21"/>
  <c r="F272" i="21"/>
  <c r="F271" i="21"/>
  <c r="F270" i="21"/>
  <c r="F269" i="21"/>
  <c r="F268" i="21"/>
  <c r="F267" i="21"/>
  <c r="F266" i="21"/>
  <c r="F265" i="21"/>
  <c r="F264" i="21"/>
  <c r="F263" i="21"/>
  <c r="F262" i="21"/>
  <c r="F261" i="21"/>
  <c r="F260" i="21"/>
  <c r="F259" i="21"/>
  <c r="F258" i="21"/>
  <c r="F257" i="21"/>
  <c r="F256" i="21"/>
  <c r="F255" i="21"/>
  <c r="F254" i="21"/>
  <c r="F253" i="21"/>
  <c r="F252" i="21"/>
  <c r="F251" i="21"/>
  <c r="F250" i="21"/>
  <c r="F249" i="21"/>
  <c r="F248" i="21"/>
  <c r="F247" i="21"/>
  <c r="F246" i="21"/>
  <c r="F245" i="21"/>
  <c r="F244" i="21"/>
  <c r="F243" i="21"/>
  <c r="F242" i="21"/>
  <c r="F241" i="21"/>
  <c r="F240" i="21"/>
  <c r="F239" i="21"/>
  <c r="F238" i="21"/>
  <c r="F237" i="21"/>
  <c r="F236" i="21"/>
  <c r="F235" i="21"/>
  <c r="F234" i="21"/>
  <c r="F233" i="21"/>
  <c r="F232" i="21"/>
  <c r="F231" i="21"/>
  <c r="F230" i="21"/>
  <c r="F229" i="21"/>
  <c r="F228" i="21"/>
  <c r="F227" i="21"/>
  <c r="F226" i="21"/>
  <c r="F225" i="21"/>
  <c r="F224" i="21"/>
  <c r="F223" i="21"/>
  <c r="F222" i="21"/>
  <c r="F221" i="21"/>
  <c r="F220" i="21"/>
  <c r="F219" i="21"/>
  <c r="F218" i="21"/>
  <c r="F217" i="21"/>
  <c r="F216" i="21"/>
  <c r="F215" i="21"/>
  <c r="F214" i="21"/>
  <c r="F213" i="21"/>
  <c r="F212" i="21"/>
  <c r="F211" i="21"/>
  <c r="F210" i="21"/>
  <c r="F209" i="21"/>
  <c r="F208" i="21"/>
  <c r="F207" i="21"/>
  <c r="F206" i="21"/>
  <c r="F205" i="21"/>
  <c r="F204" i="21"/>
  <c r="F203" i="21"/>
  <c r="F202" i="21"/>
  <c r="F201" i="21"/>
  <c r="F200" i="21"/>
  <c r="F199" i="21"/>
  <c r="F198" i="21"/>
  <c r="F197" i="21"/>
  <c r="F196" i="21"/>
  <c r="F195" i="21"/>
  <c r="F194" i="21"/>
  <c r="F193" i="21"/>
  <c r="F192" i="21"/>
  <c r="F191" i="21"/>
  <c r="F190" i="21"/>
  <c r="F189" i="21"/>
  <c r="F188" i="21"/>
  <c r="F187" i="21"/>
  <c r="F186" i="21"/>
  <c r="F185" i="21"/>
  <c r="F184" i="21"/>
  <c r="F183" i="21"/>
  <c r="F182" i="21"/>
  <c r="F181" i="21"/>
  <c r="F180" i="21"/>
  <c r="F179" i="21"/>
  <c r="F178" i="21"/>
  <c r="F177" i="21"/>
  <c r="F176" i="21"/>
  <c r="F175" i="21"/>
  <c r="F174" i="21"/>
  <c r="F173" i="21"/>
  <c r="F172" i="21"/>
  <c r="F171" i="21"/>
  <c r="F170" i="21"/>
  <c r="F169" i="21"/>
  <c r="F168" i="21"/>
  <c r="F167" i="21"/>
  <c r="F166" i="21"/>
  <c r="F165" i="21"/>
  <c r="F164" i="21"/>
  <c r="F163" i="21"/>
  <c r="F162" i="21"/>
  <c r="F161" i="21"/>
  <c r="F160" i="21"/>
  <c r="F159" i="21"/>
  <c r="F158" i="21"/>
  <c r="F157" i="21"/>
  <c r="F156" i="21"/>
  <c r="F155" i="21"/>
  <c r="F154" i="21"/>
  <c r="F153" i="21"/>
  <c r="F152" i="21"/>
  <c r="F151" i="21"/>
  <c r="F150" i="21"/>
  <c r="F149" i="21"/>
  <c r="F148" i="21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F89" i="21"/>
  <c r="F88" i="21"/>
  <c r="F87" i="21"/>
  <c r="F86" i="21"/>
  <c r="F85" i="21"/>
  <c r="F84" i="21"/>
  <c r="F83" i="21"/>
  <c r="F82" i="21"/>
  <c r="F81" i="21"/>
  <c r="F80" i="21"/>
  <c r="F79" i="21"/>
  <c r="F78" i="21"/>
  <c r="F77" i="21"/>
  <c r="F76" i="21"/>
  <c r="F75" i="21"/>
  <c r="F74" i="21"/>
  <c r="F73" i="21"/>
  <c r="F72" i="21"/>
  <c r="F71" i="21"/>
  <c r="F70" i="21"/>
  <c r="F69" i="21"/>
  <c r="F68" i="21"/>
  <c r="F67" i="21"/>
  <c r="F66" i="21"/>
  <c r="F65" i="21"/>
  <c r="F64" i="21"/>
  <c r="F63" i="21"/>
  <c r="F62" i="21"/>
  <c r="F61" i="21"/>
  <c r="F60" i="21"/>
  <c r="F59" i="21"/>
  <c r="F58" i="21"/>
  <c r="F57" i="21"/>
  <c r="F56" i="21"/>
  <c r="F55" i="21"/>
  <c r="F54" i="21"/>
  <c r="F53" i="21"/>
  <c r="F52" i="21"/>
  <c r="F51" i="21"/>
  <c r="F50" i="21"/>
  <c r="F49" i="21"/>
  <c r="F48" i="21"/>
  <c r="F47" i="21"/>
  <c r="F46" i="21"/>
  <c r="F45" i="21"/>
  <c r="F44" i="21"/>
  <c r="F43" i="21"/>
  <c r="F42" i="21"/>
  <c r="F41" i="21"/>
  <c r="F40" i="2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I13" i="17"/>
  <c r="I12" i="17"/>
  <c r="I11" i="17"/>
  <c r="I10" i="17"/>
  <c r="I9" i="17"/>
  <c r="I8" i="17"/>
  <c r="I7" i="17"/>
  <c r="I6" i="17"/>
  <c r="I5" i="17"/>
  <c r="I4" i="17"/>
  <c r="I3" i="17"/>
  <c r="I2" i="17"/>
  <c r="C3" i="16"/>
  <c r="B3" i="16"/>
  <c r="C2" i="16"/>
  <c r="B2" i="16"/>
  <c r="C1" i="16"/>
  <c r="B1" i="16"/>
  <c r="C3" i="15"/>
  <c r="B3" i="15"/>
  <c r="C2" i="15"/>
  <c r="B2" i="15"/>
  <c r="C1" i="15"/>
  <c r="B1" i="15"/>
  <c r="E23" i="2"/>
  <c r="D23" i="2"/>
  <c r="C23" i="2"/>
  <c r="E22" i="2"/>
  <c r="D22" i="2"/>
  <c r="C22" i="2"/>
  <c r="E21" i="2"/>
  <c r="D21" i="2"/>
  <c r="C21" i="2"/>
  <c r="E20" i="2"/>
  <c r="D20" i="2"/>
  <c r="C20" i="2"/>
  <c r="E19" i="2"/>
  <c r="D19" i="2"/>
  <c r="C19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E13" i="2"/>
  <c r="D13" i="2"/>
  <c r="C13" i="2"/>
  <c r="E12" i="2"/>
  <c r="D12" i="2"/>
  <c r="C12" i="2"/>
  <c r="E11" i="2"/>
  <c r="D11" i="2"/>
  <c r="C11" i="2"/>
  <c r="E10" i="2"/>
  <c r="D10" i="2"/>
  <c r="C10" i="2"/>
  <c r="I16" i="2" s="1"/>
  <c r="C9" i="2"/>
</calcChain>
</file>

<file path=xl/sharedStrings.xml><?xml version="1.0" encoding="utf-8"?>
<sst xmlns="http://schemas.openxmlformats.org/spreadsheetml/2006/main" count="2164" uniqueCount="392">
  <si>
    <t>Matrícula</t>
  </si>
  <si>
    <t>Nome</t>
  </si>
  <si>
    <t>Cargo</t>
  </si>
  <si>
    <t>Salário</t>
  </si>
  <si>
    <t>Departamento</t>
  </si>
  <si>
    <t>Lucas</t>
  </si>
  <si>
    <t>Thiago</t>
  </si>
  <si>
    <t>João</t>
  </si>
  <si>
    <t>Maria</t>
  </si>
  <si>
    <t>Cristina</t>
  </si>
  <si>
    <t>Andre</t>
  </si>
  <si>
    <t>Cleber</t>
  </si>
  <si>
    <t>Felipe</t>
  </si>
  <si>
    <t>Fernando</t>
  </si>
  <si>
    <t>Talita</t>
  </si>
  <si>
    <t>Sara</t>
  </si>
  <si>
    <t>Luciana</t>
  </si>
  <si>
    <t>Diego</t>
  </si>
  <si>
    <t>Roberto</t>
  </si>
  <si>
    <t>Julia</t>
  </si>
  <si>
    <t>CÓD</t>
  </si>
  <si>
    <t>PRODUTO</t>
  </si>
  <si>
    <t>LOJA</t>
  </si>
  <si>
    <t>VALOR UNIT</t>
  </si>
  <si>
    <t>CÓDIGO</t>
  </si>
  <si>
    <t>Produto 1</t>
  </si>
  <si>
    <t>Alcides</t>
  </si>
  <si>
    <t>Produto 4</t>
  </si>
  <si>
    <t>Regina Modas</t>
  </si>
  <si>
    <t>Produto 2</t>
  </si>
  <si>
    <t>Produto 3</t>
  </si>
  <si>
    <t>Preço Bom</t>
  </si>
  <si>
    <t>Saldão</t>
  </si>
  <si>
    <t>Código</t>
  </si>
  <si>
    <t>Funcionário</t>
  </si>
  <si>
    <t>Idade</t>
  </si>
  <si>
    <t>Venda</t>
  </si>
  <si>
    <t>AB0001</t>
  </si>
  <si>
    <t>Claudio</t>
  </si>
  <si>
    <t>Gerente</t>
  </si>
  <si>
    <t>AB0002</t>
  </si>
  <si>
    <t>Estagiário</t>
  </si>
  <si>
    <t>AB0003</t>
  </si>
  <si>
    <t>Renato</t>
  </si>
  <si>
    <t>Analista</t>
  </si>
  <si>
    <t>AB0004</t>
  </si>
  <si>
    <t>Pamela</t>
  </si>
  <si>
    <t>AB0005</t>
  </si>
  <si>
    <t>Diretor</t>
  </si>
  <si>
    <t>CORRESP</t>
  </si>
  <si>
    <t>ÍNDICE</t>
  </si>
  <si>
    <t>ÍNDICE + CORRESP</t>
  </si>
  <si>
    <t>Sorteio</t>
  </si>
  <si>
    <t>Nome do Vencedor</t>
  </si>
  <si>
    <t>Classificação</t>
  </si>
  <si>
    <t>Bônus Extra</t>
  </si>
  <si>
    <t>Valor</t>
  </si>
  <si>
    <t>Prêmio Base</t>
  </si>
  <si>
    <t>A</t>
  </si>
  <si>
    <t>B</t>
  </si>
  <si>
    <t>Prêmio Extra pela Classificação</t>
  </si>
  <si>
    <t>C</t>
  </si>
  <si>
    <t>D</t>
  </si>
  <si>
    <t>Bônus Extra pela Classificação</t>
  </si>
  <si>
    <t>E</t>
  </si>
  <si>
    <t>F</t>
  </si>
  <si>
    <t>Prêmio Total</t>
  </si>
  <si>
    <t>Prêmio Extra</t>
  </si>
  <si>
    <t>Prêmio</t>
  </si>
  <si>
    <t>Carro 0km</t>
  </si>
  <si>
    <t>Moto</t>
  </si>
  <si>
    <t>Computador</t>
  </si>
  <si>
    <t>Televisor</t>
  </si>
  <si>
    <t>Notebook</t>
  </si>
  <si>
    <t>Relógio</t>
  </si>
  <si>
    <t>Prêmio Extra pela Classificação: Use a função Proch para localizar o Prêmio do vencedor baseado na classificação.</t>
  </si>
  <si>
    <t xml:space="preserve">Bônus Extra pela Classificação: Use a função Procv para localizar o Bônus do vencedor baseado na classificação.
 </t>
  </si>
  <si>
    <t>Alunos de Excel</t>
  </si>
  <si>
    <t>Curso</t>
  </si>
  <si>
    <t>Ana Paula Silva</t>
  </si>
  <si>
    <t>Profissionalizante</t>
  </si>
  <si>
    <t>Donizete Oliveira</t>
  </si>
  <si>
    <t>Kids</t>
  </si>
  <si>
    <t>Yuri Pereira</t>
  </si>
  <si>
    <t>Visual Basic</t>
  </si>
  <si>
    <t>Fernando Moreira</t>
  </si>
  <si>
    <t>Inglês</t>
  </si>
  <si>
    <t>João Carlos Santos</t>
  </si>
  <si>
    <t>Silvio Kuka</t>
  </si>
  <si>
    <t>Orlando Moraes</t>
  </si>
  <si>
    <t>Adimir Rosa</t>
  </si>
  <si>
    <t>Afonso Menezes</t>
  </si>
  <si>
    <t>Patrícia Medeiros</t>
  </si>
  <si>
    <t>Hotelaria</t>
  </si>
  <si>
    <t>Evandro Luís</t>
  </si>
  <si>
    <t>Paulo Mariano</t>
  </si>
  <si>
    <t>Fábio Barros</t>
  </si>
  <si>
    <t>Carlos Peres</t>
  </si>
  <si>
    <t>Edvaldo Pontes</t>
  </si>
  <si>
    <t>Cálculo: Utilizar uma Procv para exibir o curso do aluno de acordo com a matrícula passada.</t>
  </si>
  <si>
    <t>Arnaldo Ferreira</t>
  </si>
  <si>
    <t>Lineu Francisco</t>
  </si>
  <si>
    <t>Máximo Batista</t>
  </si>
  <si>
    <t>Wagner Mota</t>
  </si>
  <si>
    <t>Luís Carlos</t>
  </si>
  <si>
    <t>Tabela Produtos</t>
  </si>
  <si>
    <t>Tabela Alimentos</t>
  </si>
  <si>
    <t>Produto</t>
  </si>
  <si>
    <t>Valor de unitário</t>
  </si>
  <si>
    <t>1 - Banana</t>
  </si>
  <si>
    <t>2 - Maçã</t>
  </si>
  <si>
    <t>3 - Beterraba</t>
  </si>
  <si>
    <t>4 - Rosa</t>
  </si>
  <si>
    <t>CÓD. PRODUTO</t>
  </si>
  <si>
    <t>CADASTRO</t>
  </si>
  <si>
    <t>RESPONSÁVEL</t>
  </si>
  <si>
    <t>STATUS</t>
  </si>
  <si>
    <t>Semente de chia</t>
  </si>
  <si>
    <t>Confirmado</t>
  </si>
  <si>
    <t>PESQUISA</t>
  </si>
  <si>
    <t>Granola tradicional</t>
  </si>
  <si>
    <t>Pendente</t>
  </si>
  <si>
    <t>Semente de abóbora</t>
  </si>
  <si>
    <t>CÓD.:</t>
  </si>
  <si>
    <t>PRODUTO:</t>
  </si>
  <si>
    <t>Xilitol</t>
  </si>
  <si>
    <t>Pasta de amendoim</t>
  </si>
  <si>
    <t>Granola com mel</t>
  </si>
  <si>
    <t>Joyce</t>
  </si>
  <si>
    <t>Cadastro:</t>
  </si>
  <si>
    <t>Granola com chocolate</t>
  </si>
  <si>
    <t>Status:</t>
  </si>
  <si>
    <t>Cód. Produto:</t>
  </si>
  <si>
    <t>Aveia em flocos finos</t>
  </si>
  <si>
    <t>Farinha de aveia</t>
  </si>
  <si>
    <t>Açúcar mascavo</t>
  </si>
  <si>
    <t>Cacau em pó</t>
  </si>
  <si>
    <t>Amendoim torrado</t>
  </si>
  <si>
    <t>Aveia em flocos médios</t>
  </si>
  <si>
    <t>Farinha de trigo integral</t>
  </si>
  <si>
    <t>Vinagre de maçã</t>
  </si>
  <si>
    <t>Aveia em flocos grandes</t>
  </si>
  <si>
    <t>Canela em pó</t>
  </si>
  <si>
    <t>Gengibre em pó</t>
  </si>
  <si>
    <t>Como usar a formatação condicional para pintar toda a linha, conforme uma condição</t>
  </si>
  <si>
    <t>NOME</t>
  </si>
  <si>
    <t>DEPTO</t>
  </si>
  <si>
    <t>ESTADO</t>
  </si>
  <si>
    <t>CIDADE</t>
  </si>
  <si>
    <t>SALÁRIO</t>
  </si>
  <si>
    <t>Antonia</t>
  </si>
  <si>
    <t>Administrativo</t>
  </si>
  <si>
    <t>MG</t>
  </si>
  <si>
    <t>B. Horizonte</t>
  </si>
  <si>
    <t>Maurício</t>
  </si>
  <si>
    <t>Comercial</t>
  </si>
  <si>
    <t>Camila</t>
  </si>
  <si>
    <t>SC</t>
  </si>
  <si>
    <t>Blumenau</t>
  </si>
  <si>
    <t>Bruno</t>
  </si>
  <si>
    <t>Rh</t>
  </si>
  <si>
    <t>Daniel</t>
  </si>
  <si>
    <t>SP</t>
  </si>
  <si>
    <t>Campinas</t>
  </si>
  <si>
    <t>Ricardo</t>
  </si>
  <si>
    <t>Florianópolis</t>
  </si>
  <si>
    <t>Dalva</t>
  </si>
  <si>
    <t>Vendas</t>
  </si>
  <si>
    <t>Fabiano</t>
  </si>
  <si>
    <t>Gaspar</t>
  </si>
  <si>
    <t>Maira</t>
  </si>
  <si>
    <t>RJ</t>
  </si>
  <si>
    <t>Niterói</t>
  </si>
  <si>
    <t>Manuel</t>
  </si>
  <si>
    <t>Osasco</t>
  </si>
  <si>
    <t>Roberta</t>
  </si>
  <si>
    <t>Ouro Preto</t>
  </si>
  <si>
    <t>Elza</t>
  </si>
  <si>
    <t>Rio de Janeiro</t>
  </si>
  <si>
    <t>Cíntia</t>
  </si>
  <si>
    <t>Mário</t>
  </si>
  <si>
    <t>São Paulo</t>
  </si>
  <si>
    <t>Rosana</t>
  </si>
  <si>
    <t>Aparecido</t>
  </si>
  <si>
    <t>Varginha</t>
  </si>
  <si>
    <t>Objetivo: Pintar toda a linha onde o Departamento seja RH.</t>
  </si>
  <si>
    <t>1. Selecione o intervalo A4:E19.</t>
  </si>
  <si>
    <r>
      <t xml:space="preserve">2. Como fórmula use: </t>
    </r>
    <r>
      <rPr>
        <b/>
        <sz val="12"/>
        <rFont val="Bitstream Vera Sans"/>
      </rPr>
      <t>=$B4="RH"</t>
    </r>
  </si>
  <si>
    <t>Observe que o $ deve ir apenas na frente da Coluna B e não da Linha 4, pois esta precisa mudar a cada nova linha...</t>
  </si>
  <si>
    <t>nome_produto</t>
  </si>
  <si>
    <t>estoque_ideal</t>
  </si>
  <si>
    <t>qtd_estoque</t>
  </si>
  <si>
    <t>Arroz</t>
  </si>
  <si>
    <t>Feijão</t>
  </si>
  <si>
    <t>Macarrão</t>
  </si>
  <si>
    <t>Óleo de soja</t>
  </si>
  <si>
    <t>Sal refinado</t>
  </si>
  <si>
    <t>Açúcar cristal</t>
  </si>
  <si>
    <t>Farinha de trigo</t>
  </si>
  <si>
    <t>Leite em pó</t>
  </si>
  <si>
    <t>Café em pó</t>
  </si>
  <si>
    <t>Pão de forma</t>
  </si>
  <si>
    <t>Margarina</t>
  </si>
  <si>
    <t>Queijo mussarela</t>
  </si>
  <si>
    <t>Presunto</t>
  </si>
  <si>
    <t>Tomate</t>
  </si>
  <si>
    <t>Cebola</t>
  </si>
  <si>
    <t>Alho</t>
  </si>
  <si>
    <t>Batata</t>
  </si>
  <si>
    <t>Cenoura</t>
  </si>
  <si>
    <t>Beterraba</t>
  </si>
  <si>
    <t>Abobrinha</t>
  </si>
  <si>
    <t>Repolho</t>
  </si>
  <si>
    <t>Couve-flor</t>
  </si>
  <si>
    <t>Brócolis</t>
  </si>
  <si>
    <t>Pimentão verde</t>
  </si>
  <si>
    <t>Desafio:</t>
  </si>
  <si>
    <r>
      <t xml:space="preserve">1) A planilha chegou para você formatada como uma tabela, com cores e linhas definidas. </t>
    </r>
    <r>
      <rPr>
        <b/>
        <sz val="11"/>
        <color rgb="FF000000"/>
        <rFont val="Calibri"/>
        <family val="2"/>
        <scheme val="minor"/>
      </rPr>
      <t>Limpe as formatações</t>
    </r>
    <r>
      <rPr>
        <sz val="11"/>
        <color rgb="FF000000"/>
        <rFont val="Calibri"/>
        <family val="2"/>
        <scheme val="minor"/>
      </rPr>
      <t xml:space="preserve"> para deixar as células sem cor de preenchimento.</t>
    </r>
  </si>
  <si>
    <t>2) Use as regras de realce para saber:</t>
  </si>
  <si>
    <r>
      <t xml:space="preserve">a) Os itens com </t>
    </r>
    <r>
      <rPr>
        <b/>
        <sz val="11"/>
        <color rgb="FF000000"/>
        <rFont val="Calibri"/>
        <family val="2"/>
        <scheme val="minor"/>
      </rPr>
      <t>estoque maior que 30</t>
    </r>
    <r>
      <rPr>
        <sz val="11"/>
        <color rgb="FF000000"/>
        <rFont val="Calibri"/>
        <family val="2"/>
        <scheme val="minor"/>
      </rPr>
      <t>.</t>
    </r>
  </si>
  <si>
    <r>
      <t xml:space="preserve">b) Os itens com </t>
    </r>
    <r>
      <rPr>
        <b/>
        <sz val="11"/>
        <color rgb="FF000000"/>
        <rFont val="Calibri"/>
        <family val="2"/>
        <scheme val="minor"/>
      </rPr>
      <t>estoque ideal menor que 20</t>
    </r>
    <r>
      <rPr>
        <sz val="11"/>
        <color rgb="FF000000"/>
        <rFont val="Calibri"/>
        <family val="2"/>
        <scheme val="minor"/>
      </rPr>
      <t>.</t>
    </r>
  </si>
  <si>
    <r>
      <t xml:space="preserve">c) Os </t>
    </r>
    <r>
      <rPr>
        <b/>
        <sz val="11"/>
        <color rgb="FF000000"/>
        <rFont val="Calibri"/>
        <family val="2"/>
        <scheme val="minor"/>
      </rPr>
      <t>20 itens com maior estoque</t>
    </r>
    <r>
      <rPr>
        <sz val="11"/>
        <color rgb="FF000000"/>
        <rFont val="Calibri"/>
        <family val="2"/>
        <scheme val="minor"/>
      </rPr>
      <t xml:space="preserve"> (top 20).</t>
    </r>
  </si>
  <si>
    <r>
      <t xml:space="preserve">d) Os </t>
    </r>
    <r>
      <rPr>
        <b/>
        <sz val="11"/>
        <color rgb="FF000000"/>
        <rFont val="Calibri"/>
        <family val="2"/>
        <scheme val="minor"/>
      </rPr>
      <t>10 itens com menor estoque</t>
    </r>
    <r>
      <rPr>
        <sz val="11"/>
        <color rgb="FF000000"/>
        <rFont val="Calibri"/>
        <family val="2"/>
        <scheme val="minor"/>
      </rPr>
      <t>.</t>
    </r>
  </si>
  <si>
    <t>Calendário de Treinamentos</t>
  </si>
  <si>
    <t>Pesquisar Local do Treinamento</t>
  </si>
  <si>
    <t>Nome do Participante</t>
  </si>
  <si>
    <t>Local do Treinamento</t>
  </si>
  <si>
    <t>Treinamento Realizado</t>
  </si>
  <si>
    <t>Data do Treinamento</t>
  </si>
  <si>
    <t>Cidades</t>
  </si>
  <si>
    <t>Adriana da Silva Pinto</t>
  </si>
  <si>
    <t>Microsoft Word Avançado</t>
  </si>
  <si>
    <t>Adriano Nimato</t>
  </si>
  <si>
    <t>Microsoft Excel Básico</t>
  </si>
  <si>
    <t>Diadema</t>
  </si>
  <si>
    <t>Alexandre</t>
  </si>
  <si>
    <t>Microsoft Word</t>
  </si>
  <si>
    <t>Cuiabá</t>
  </si>
  <si>
    <t>Allan K. Beçudo</t>
  </si>
  <si>
    <t>Microsoft Excel VBA</t>
  </si>
  <si>
    <t>Jundiaí</t>
  </si>
  <si>
    <t>André</t>
  </si>
  <si>
    <t>SQL</t>
  </si>
  <si>
    <t>Vitória</t>
  </si>
  <si>
    <t>André da Silva Peres</t>
  </si>
  <si>
    <t>Microsoft Word Básico</t>
  </si>
  <si>
    <t>Ângelo</t>
  </si>
  <si>
    <t>Microsoft Windows 98</t>
  </si>
  <si>
    <t>Archimedes Kostas</t>
  </si>
  <si>
    <t>Microsoft Excel Avançado</t>
  </si>
  <si>
    <t>Benon Temde Noite</t>
  </si>
  <si>
    <t>Bernardo da Silva</t>
  </si>
  <si>
    <t>Microsoft Access Modulo II</t>
  </si>
  <si>
    <t>Claúdia Gonçalves</t>
  </si>
  <si>
    <t>Microsoft Access Modulo I</t>
  </si>
  <si>
    <t>Eduardo B. Zouros</t>
  </si>
  <si>
    <t>Microsoft Windows Server 2003</t>
  </si>
  <si>
    <t>Elisângela</t>
  </si>
  <si>
    <t>Microsoft Access</t>
  </si>
  <si>
    <t>Humberto Doisberto</t>
  </si>
  <si>
    <t>José Luiz de Souza</t>
  </si>
  <si>
    <t>Júlio França</t>
  </si>
  <si>
    <t>Karina</t>
  </si>
  <si>
    <t>Lúcia Pratini</t>
  </si>
  <si>
    <t>Microsoft Excel</t>
  </si>
  <si>
    <t>Luíza de Oliveira</t>
  </si>
  <si>
    <t>Márcio Cioso</t>
  </si>
  <si>
    <t>Melissa Katz</t>
  </si>
  <si>
    <t>Patrícia</t>
  </si>
  <si>
    <t>Priscila P. Lantra</t>
  </si>
  <si>
    <t>Priscilla</t>
  </si>
  <si>
    <t>Raquel</t>
  </si>
  <si>
    <t>Renata Lima</t>
  </si>
  <si>
    <t>Microsoft Power Point</t>
  </si>
  <si>
    <t>Tatiana Barros</t>
  </si>
  <si>
    <t>Toninho K. Pacho</t>
  </si>
  <si>
    <t>Valéria Menezes</t>
  </si>
  <si>
    <t xml:space="preserve">Código </t>
  </si>
  <si>
    <t>Descrição</t>
  </si>
  <si>
    <t>Identificação</t>
  </si>
  <si>
    <t>Un.Med</t>
  </si>
  <si>
    <t>R$ Unit</t>
  </si>
  <si>
    <t>Pentium IV</t>
  </si>
  <si>
    <t>2.8 GHZ</t>
  </si>
  <si>
    <t>UN</t>
  </si>
  <si>
    <t>Placa de Rede</t>
  </si>
  <si>
    <t>Gigabit</t>
  </si>
  <si>
    <t>Monitor LCD</t>
  </si>
  <si>
    <t>LCD</t>
  </si>
  <si>
    <t>Impressora Multifuncional HP</t>
  </si>
  <si>
    <t>900C</t>
  </si>
  <si>
    <t>HD Samsung 1 Tera</t>
  </si>
  <si>
    <t>HD</t>
  </si>
  <si>
    <t>Pedido</t>
  </si>
  <si>
    <t>DATA</t>
  </si>
  <si>
    <t>HORA</t>
  </si>
  <si>
    <t>NRO NOTA</t>
  </si>
  <si>
    <t>RAZÃO SOCIAL</t>
  </si>
  <si>
    <t>ENDEREÇO</t>
  </si>
  <si>
    <t>CEP</t>
  </si>
  <si>
    <t>UF</t>
  </si>
  <si>
    <t>FONE</t>
  </si>
  <si>
    <t>BAIRRO/CIDADE</t>
  </si>
  <si>
    <t>Quant.</t>
  </si>
  <si>
    <t>R$ Total</t>
  </si>
  <si>
    <t/>
  </si>
  <si>
    <t>Subtotal</t>
  </si>
  <si>
    <t>Imposto</t>
  </si>
  <si>
    <t>Frete</t>
  </si>
  <si>
    <t>Total</t>
  </si>
  <si>
    <t>SOMA:</t>
  </si>
  <si>
    <t>MÉDIA:</t>
  </si>
  <si>
    <t>CONTAGEM:</t>
  </si>
  <si>
    <t>OPERAÇÃO</t>
  </si>
  <si>
    <t>VALOR</t>
  </si>
  <si>
    <t>Saída</t>
  </si>
  <si>
    <t>Entrada</t>
  </si>
  <si>
    <t>CE</t>
  </si>
  <si>
    <t>RS</t>
  </si>
  <si>
    <t>PE</t>
  </si>
  <si>
    <t>BA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</si>
  <si>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</si>
  <si>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</si>
  <si>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</si>
  <si>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</si>
  <si>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</si>
  <si>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</si>
  <si>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</si>
  <si>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</si>
  <si>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</si>
  <si>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</si>
  <si>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</si>
  <si>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</si>
  <si>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</si>
  <si>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REGULAR</t>
  </si>
  <si>
    <t>FECHADO</t>
  </si>
  <si>
    <t>CARLA</t>
  </si>
  <si>
    <t>Bebidas</t>
  </si>
  <si>
    <t>Carnes</t>
  </si>
  <si>
    <t>Grãos</t>
  </si>
  <si>
    <t>Frios</t>
  </si>
  <si>
    <t>Suco de Uva</t>
  </si>
  <si>
    <t>Camarão</t>
  </si>
  <si>
    <t>Farelo de Aveia</t>
  </si>
  <si>
    <t>Queijo Prato</t>
  </si>
  <si>
    <t>Gatorade</t>
  </si>
  <si>
    <t>Sobrecoxa de Frango</t>
  </si>
  <si>
    <t>Queijo Polenghi</t>
  </si>
  <si>
    <t>Chá Mate</t>
  </si>
  <si>
    <t>Filé de Costela</t>
  </si>
  <si>
    <t>Semente de Linhaça</t>
  </si>
  <si>
    <t>Queijo Provolone</t>
  </si>
  <si>
    <t>Suco de Maçã</t>
  </si>
  <si>
    <t>Coxa de Frango</t>
  </si>
  <si>
    <t>Farinha de Quinoa</t>
  </si>
  <si>
    <t>Creme de Ricota</t>
  </si>
  <si>
    <t>Suco ADES</t>
  </si>
  <si>
    <t>Tiras de Alcatra</t>
  </si>
  <si>
    <t>Pipoca de Microondas</t>
  </si>
  <si>
    <t>Salame</t>
  </si>
  <si>
    <t>Capsula de Café</t>
  </si>
  <si>
    <t>Filé de Salmão</t>
  </si>
  <si>
    <t>Farofa Pronta</t>
  </si>
  <si>
    <t>Mortadela</t>
  </si>
  <si>
    <t>Energético</t>
  </si>
  <si>
    <t>Bacon</t>
  </si>
  <si>
    <t>Farinha de Arroz</t>
  </si>
  <si>
    <t>Lingüiça Toscana</t>
  </si>
  <si>
    <t>Espetinho de Carne</t>
  </si>
  <si>
    <t>CATEGORIA</t>
  </si>
  <si>
    <t>QUANTIDADE</t>
  </si>
  <si>
    <t>LISTA DE COMPRAS</t>
  </si>
  <si>
    <t>Bateria</t>
  </si>
  <si>
    <t>Vendedor</t>
  </si>
  <si>
    <t>Data</t>
  </si>
  <si>
    <t>Valor Unitário</t>
  </si>
  <si>
    <t>Quantidade</t>
  </si>
  <si>
    <t>Valor Total</t>
  </si>
  <si>
    <t>Rafael</t>
  </si>
  <si>
    <t>Teclado</t>
  </si>
  <si>
    <t>Luiza</t>
  </si>
  <si>
    <t>Fone de Ouvido</t>
  </si>
  <si>
    <t>Mouse</t>
  </si>
  <si>
    <t>Pedro</t>
  </si>
  <si>
    <t>Sabrina</t>
  </si>
  <si>
    <t>Monitor</t>
  </si>
  <si>
    <t>Clara</t>
  </si>
  <si>
    <t>índice</t>
  </si>
  <si>
    <t>Corresp</t>
  </si>
  <si>
    <t>Matrícula ProcX</t>
  </si>
  <si>
    <t>Fonte Notebook</t>
  </si>
  <si>
    <t>&lt;2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</si>
</sst>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-&quot;R$&quot;* #,##0_-;\-&quot;R$&quot;* #,##0_-;_-&quot;R$&quot;* &quot;-&quot;??_-;_-@_-"/>
    <numFmt numFmtId="166" formatCode="00&quot;.&quot;000&quot;.&quot;000&quot;/&quot;0000&quot;-&quot;00"/>
    <numFmt numFmtId="167" formatCode="h:mm;@"/>
    <numFmt numFmtId="168" formatCode="&quot;R$&quot;\ #,##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0"/>
      <name val="Arial"/>
      <family val="2"/>
    </font>
    <font>
      <b/>
      <sz val="16"/>
      <color indexed="13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</font>
    <font>
      <b/>
      <sz val="14"/>
      <name val="Bitstream Vera Sans"/>
      <family val="2"/>
    </font>
    <font>
      <b/>
      <sz val="10"/>
      <color theme="0"/>
      <name val="Bitstream Vera Sans"/>
    </font>
    <font>
      <sz val="12"/>
      <name val="Bitstream Vera Sans"/>
      <family val="2"/>
    </font>
    <font>
      <b/>
      <sz val="12"/>
      <name val="Bitstream Vera Sans"/>
    </font>
    <font>
      <b/>
      <sz val="12"/>
      <name val="Bitstream Vera Sans"/>
      <family val="2"/>
    </font>
    <font>
      <sz val="11"/>
      <name val="Arial"/>
      <family val="2"/>
    </font>
    <font>
      <b/>
      <sz val="11"/>
      <name val="Arial"/>
      <family val="2"/>
    </font>
    <font>
      <b/>
      <sz val="18"/>
      <name val="Arial"/>
      <family val="2"/>
    </font>
    <font>
      <b/>
      <u val="double"/>
      <sz val="20"/>
      <color theme="1"/>
      <name val="Calibri"/>
      <family val="2"/>
      <scheme val="minor"/>
    </font>
    <font>
      <b/>
      <sz val="18"/>
      <color theme="6" tint="-0.499984740745262"/>
      <name val="Calibri"/>
      <family val="2"/>
      <scheme val="minor"/>
    </font>
    <font>
      <b/>
      <sz val="16"/>
      <color theme="1" tint="4.9989318521683403E-2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theme="1"/>
      <name val="Calibri"/>
      <family val="2"/>
    </font>
    <font>
      <sz val="12"/>
      <color theme="1"/>
      <name val="Open Sans"/>
      <family val="2"/>
    </font>
    <font>
      <b/>
      <sz val="12"/>
      <color theme="1"/>
      <name val="Open Sans"/>
      <family val="2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6A6A6"/>
        <bgColor rgb="FFA6A6A6"/>
      </patternFill>
    </fill>
    <fill>
      <patternFill patternType="solid">
        <fgColor rgb="FFD9D9D9"/>
        <bgColor rgb="FFD9D9D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4" tint="-0.24994659260841701"/>
      </left>
      <right/>
      <top style="double">
        <color theme="4" tint="-0.24994659260841701"/>
      </top>
      <bottom style="medium">
        <color theme="4" tint="-0.24994659260841701"/>
      </bottom>
      <diagonal/>
    </border>
    <border>
      <left/>
      <right style="medium">
        <color theme="4" tint="-0.24994659260841701"/>
      </right>
      <top style="double">
        <color theme="4" tint="-0.24994659260841701"/>
      </top>
      <bottom style="medium">
        <color theme="4" tint="-0.24994659260841701"/>
      </bottom>
      <diagonal/>
    </border>
    <border>
      <left style="medium">
        <color theme="4" tint="-0.24994659260841701"/>
      </left>
      <right style="medium">
        <color theme="4" tint="-0.24994659260841701"/>
      </right>
      <top style="double">
        <color theme="4" tint="-0.24994659260841701"/>
      </top>
      <bottom style="medium">
        <color theme="4" tint="-0.24994659260841701"/>
      </bottom>
      <diagonal/>
    </border>
    <border>
      <left style="medium">
        <color theme="4" tint="-0.24994659260841701"/>
      </left>
      <right style="double">
        <color theme="4" tint="-0.24994659260841701"/>
      </right>
      <top style="double">
        <color theme="4" tint="-0.24994659260841701"/>
      </top>
      <bottom style="medium">
        <color theme="4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7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2" borderId="0" applyNumberFormat="0" applyBorder="0" applyAlignment="0" applyProtection="0"/>
    <xf numFmtId="0" fontId="9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191">
    <xf numFmtId="0" fontId="0" fillId="0" borderId="0" xfId="0"/>
    <xf numFmtId="0" fontId="4" fillId="3" borderId="2" xfId="0" applyFont="1" applyFill="1" applyBorder="1"/>
    <xf numFmtId="0" fontId="5" fillId="4" borderId="2" xfId="0" applyFont="1" applyFill="1" applyBorder="1"/>
    <xf numFmtId="44" fontId="5" fillId="4" borderId="2" xfId="1" applyFont="1" applyFill="1" applyBorder="1"/>
    <xf numFmtId="0" fontId="5" fillId="0" borderId="0" xfId="0" applyFont="1"/>
    <xf numFmtId="44" fontId="5" fillId="0" borderId="0" xfId="1" applyFont="1"/>
    <xf numFmtId="0" fontId="5" fillId="4" borderId="0" xfId="0" applyFont="1" applyFill="1"/>
    <xf numFmtId="44" fontId="5" fillId="4" borderId="0" xfId="1" applyFont="1" applyFill="1"/>
    <xf numFmtId="0" fontId="5" fillId="4" borderId="3" xfId="0" applyFont="1" applyFill="1" applyBorder="1"/>
    <xf numFmtId="44" fontId="5" fillId="4" borderId="3" xfId="1" applyFont="1" applyFill="1" applyBorder="1"/>
    <xf numFmtId="0" fontId="5" fillId="0" borderId="4" xfId="0" applyFont="1" applyBorder="1"/>
    <xf numFmtId="0" fontId="5" fillId="5" borderId="5" xfId="0" applyFont="1" applyFill="1" applyBorder="1" applyAlignment="1">
      <alignment horizontal="center" vertical="center"/>
    </xf>
    <xf numFmtId="0" fontId="5" fillId="0" borderId="6" xfId="0" applyFont="1" applyBorder="1"/>
    <xf numFmtId="0" fontId="5" fillId="0" borderId="7" xfId="0" applyFont="1" applyBorder="1" applyAlignment="1">
      <alignment horizontal="center" vertical="center"/>
    </xf>
    <xf numFmtId="44" fontId="5" fillId="0" borderId="7" xfId="1" applyFont="1" applyBorder="1" applyAlignment="1">
      <alignment horizontal="center" vertical="center"/>
    </xf>
    <xf numFmtId="0" fontId="5" fillId="0" borderId="8" xfId="0" applyFont="1" applyBorder="1"/>
    <xf numFmtId="0" fontId="5" fillId="0" borderId="9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8" fontId="8" fillId="0" borderId="0" xfId="0" applyNumberFormat="1" applyFont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0" borderId="6" xfId="0" applyBorder="1"/>
    <xf numFmtId="0" fontId="0" fillId="0" borderId="8" xfId="0" applyBorder="1"/>
    <xf numFmtId="0" fontId="3" fillId="8" borderId="4" xfId="0" applyFont="1" applyFill="1" applyBorder="1" applyAlignment="1">
      <alignment horizontal="center"/>
    </xf>
    <xf numFmtId="14" fontId="3" fillId="8" borderId="5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5" fontId="0" fillId="0" borderId="7" xfId="5" applyNumberFormat="1" applyFont="1" applyBorder="1"/>
    <xf numFmtId="165" fontId="0" fillId="0" borderId="9" xfId="5" applyNumberFormat="1" applyFont="1" applyBorder="1"/>
    <xf numFmtId="0" fontId="0" fillId="0" borderId="9" xfId="0" applyBorder="1" applyAlignment="1">
      <alignment horizontal="center"/>
    </xf>
    <xf numFmtId="0" fontId="3" fillId="9" borderId="4" xfId="0" applyFont="1" applyFill="1" applyBorder="1"/>
    <xf numFmtId="0" fontId="3" fillId="9" borderId="6" xfId="0" applyFont="1" applyFill="1" applyBorder="1"/>
    <xf numFmtId="0" fontId="3" fillId="9" borderId="8" xfId="0" applyFont="1" applyFill="1" applyBorder="1"/>
    <xf numFmtId="0" fontId="0" fillId="0" borderId="13" xfId="0" applyBorder="1"/>
    <xf numFmtId="0" fontId="3" fillId="8" borderId="14" xfId="0" applyFont="1" applyFill="1" applyBorder="1" applyAlignment="1">
      <alignment horizontal="center"/>
    </xf>
    <xf numFmtId="0" fontId="0" fillId="0" borderId="15" xfId="0" applyBorder="1"/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9" borderId="16" xfId="0" applyFont="1" applyFill="1" applyBorder="1"/>
    <xf numFmtId="0" fontId="0" fillId="0" borderId="1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11" borderId="13" xfId="0" applyFill="1" applyBorder="1"/>
    <xf numFmtId="0" fontId="0" fillId="10" borderId="13" xfId="0" applyFill="1" applyBorder="1"/>
    <xf numFmtId="0" fontId="0" fillId="10" borderId="13" xfId="0" applyFill="1" applyBorder="1" applyAlignment="1">
      <alignment horizontal="center"/>
    </xf>
    <xf numFmtId="164" fontId="0" fillId="0" borderId="13" xfId="6" applyFont="1" applyBorder="1"/>
    <xf numFmtId="0" fontId="9" fillId="0" borderId="0" xfId="4"/>
    <xf numFmtId="0" fontId="11" fillId="0" borderId="13" xfId="4" applyFont="1" applyBorder="1"/>
    <xf numFmtId="0" fontId="11" fillId="0" borderId="0" xfId="4" applyFont="1"/>
    <xf numFmtId="0" fontId="11" fillId="14" borderId="18" xfId="4" applyFont="1" applyFill="1" applyBorder="1"/>
    <xf numFmtId="0" fontId="11" fillId="15" borderId="18" xfId="4" applyFont="1" applyFill="1" applyBorder="1"/>
    <xf numFmtId="0" fontId="9" fillId="0" borderId="0" xfId="0" applyFont="1"/>
    <xf numFmtId="0" fontId="0" fillId="0" borderId="19" xfId="0" applyBorder="1"/>
    <xf numFmtId="0" fontId="9" fillId="0" borderId="21" xfId="0" applyFont="1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9" fillId="0" borderId="24" xfId="0" applyFont="1" applyBorder="1"/>
    <xf numFmtId="0" fontId="0" fillId="0" borderId="26" xfId="0" applyBorder="1"/>
    <xf numFmtId="0" fontId="0" fillId="0" borderId="24" xfId="0" applyBorder="1"/>
    <xf numFmtId="0" fontId="0" fillId="0" borderId="25" xfId="0" applyBorder="1"/>
    <xf numFmtId="0" fontId="12" fillId="16" borderId="27" xfId="0" applyFont="1" applyFill="1" applyBorder="1" applyAlignment="1">
      <alignment horizontal="center" vertical="center"/>
    </xf>
    <xf numFmtId="0" fontId="12" fillId="16" borderId="27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9" borderId="27" xfId="0" applyFill="1" applyBorder="1" applyAlignment="1">
      <alignment horizontal="center" vertical="center"/>
    </xf>
    <xf numFmtId="0" fontId="0" fillId="0" borderId="27" xfId="0" applyBorder="1" applyAlignment="1">
      <alignment horizontal="left" vertical="center"/>
    </xf>
    <xf numFmtId="14" fontId="0" fillId="0" borderId="27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0" borderId="27" xfId="0" applyFont="1" applyBorder="1" applyAlignment="1">
      <alignment horizontal="left" vertical="center"/>
    </xf>
    <xf numFmtId="0" fontId="13" fillId="0" borderId="0" xfId="0" applyFont="1"/>
    <xf numFmtId="0" fontId="14" fillId="17" borderId="13" xfId="0" applyFont="1" applyFill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25" fillId="20" borderId="0" xfId="0" applyFont="1" applyFill="1" applyAlignment="1">
      <alignment horizontal="center" vertical="center"/>
    </xf>
    <xf numFmtId="0" fontId="26" fillId="22" borderId="0" xfId="0" applyFont="1" applyFill="1"/>
    <xf numFmtId="0" fontId="26" fillId="21" borderId="0" xfId="0" applyFont="1" applyFill="1"/>
    <xf numFmtId="0" fontId="26" fillId="0" borderId="0" xfId="0" applyFont="1"/>
    <xf numFmtId="0" fontId="9" fillId="18" borderId="26" xfId="8" applyFill="1" applyBorder="1"/>
    <xf numFmtId="0" fontId="9" fillId="18" borderId="25" xfId="8" applyFill="1" applyBorder="1"/>
    <xf numFmtId="4" fontId="9" fillId="18" borderId="25" xfId="8" applyNumberFormat="1" applyFill="1" applyBorder="1"/>
    <xf numFmtId="0" fontId="9" fillId="18" borderId="24" xfId="8" applyFill="1" applyBorder="1"/>
    <xf numFmtId="0" fontId="9" fillId="18" borderId="23" xfId="8" applyFill="1" applyBorder="1"/>
    <xf numFmtId="0" fontId="18" fillId="0" borderId="18" xfId="8" applyFont="1" applyBorder="1"/>
    <xf numFmtId="4" fontId="18" fillId="0" borderId="34" xfId="8" applyNumberFormat="1" applyFont="1" applyBorder="1"/>
    <xf numFmtId="0" fontId="19" fillId="0" borderId="35" xfId="8" applyFont="1" applyBorder="1"/>
    <xf numFmtId="0" fontId="9" fillId="18" borderId="0" xfId="8" applyFill="1"/>
    <xf numFmtId="0" fontId="9" fillId="18" borderId="22" xfId="8" applyFill="1" applyBorder="1"/>
    <xf numFmtId="4" fontId="9" fillId="18" borderId="23" xfId="8" applyNumberFormat="1" applyFill="1" applyBorder="1"/>
    <xf numFmtId="0" fontId="18" fillId="18" borderId="0" xfId="8" applyFont="1" applyFill="1"/>
    <xf numFmtId="4" fontId="18" fillId="18" borderId="0" xfId="8" applyNumberFormat="1" applyFont="1" applyFill="1"/>
    <xf numFmtId="4" fontId="19" fillId="18" borderId="0" xfId="8" applyNumberFormat="1" applyFont="1" applyFill="1"/>
    <xf numFmtId="0" fontId="18" fillId="0" borderId="13" xfId="8" applyFont="1" applyBorder="1"/>
    <xf numFmtId="10" fontId="18" fillId="19" borderId="13" xfId="9" applyNumberFormat="1" applyFont="1" applyFill="1" applyBorder="1"/>
    <xf numFmtId="0" fontId="19" fillId="0" borderId="13" xfId="8" applyFont="1" applyBorder="1"/>
    <xf numFmtId="2" fontId="18" fillId="0" borderId="13" xfId="8" applyNumberFormat="1" applyFont="1" applyBorder="1"/>
    <xf numFmtId="4" fontId="9" fillId="18" borderId="0" xfId="8" applyNumberFormat="1" applyFill="1"/>
    <xf numFmtId="4" fontId="18" fillId="0" borderId="13" xfId="8" applyNumberFormat="1" applyFont="1" applyBorder="1"/>
    <xf numFmtId="3" fontId="18" fillId="5" borderId="13" xfId="8" applyNumberFormat="1" applyFont="1" applyFill="1" applyBorder="1" applyProtection="1">
      <protection locked="0"/>
    </xf>
    <xf numFmtId="0" fontId="18" fillId="5" borderId="13" xfId="8" applyFont="1" applyFill="1" applyBorder="1" applyProtection="1">
      <protection locked="0"/>
    </xf>
    <xf numFmtId="0" fontId="19" fillId="19" borderId="37" xfId="8" applyFont="1" applyFill="1" applyBorder="1" applyAlignment="1">
      <alignment horizontal="center" vertical="center"/>
    </xf>
    <xf numFmtId="0" fontId="19" fillId="19" borderId="13" xfId="8" applyFont="1" applyFill="1" applyBorder="1" applyAlignment="1">
      <alignment horizontal="center" vertical="center"/>
    </xf>
    <xf numFmtId="1" fontId="18" fillId="0" borderId="13" xfId="8" applyNumberFormat="1" applyFont="1" applyBorder="1" applyAlignment="1">
      <alignment horizontal="center"/>
    </xf>
    <xf numFmtId="166" fontId="18" fillId="0" borderId="13" xfId="8" applyNumberFormat="1" applyFont="1" applyBorder="1" applyAlignment="1">
      <alignment horizontal="center"/>
    </xf>
    <xf numFmtId="166" fontId="18" fillId="0" borderId="34" xfId="8" applyNumberFormat="1" applyFont="1" applyBorder="1" applyAlignment="1">
      <alignment horizontal="left"/>
    </xf>
    <xf numFmtId="0" fontId="19" fillId="19" borderId="13" xfId="8" applyFont="1" applyFill="1" applyBorder="1" applyAlignment="1">
      <alignment vertical="center" wrapText="1"/>
    </xf>
    <xf numFmtId="4" fontId="19" fillId="19" borderId="13" xfId="8" applyNumberFormat="1" applyFont="1" applyFill="1" applyBorder="1" applyAlignment="1">
      <alignment horizontal="center" vertical="center"/>
    </xf>
    <xf numFmtId="167" fontId="18" fillId="0" borderId="13" xfId="8" applyNumberFormat="1" applyFont="1" applyBorder="1" applyAlignment="1">
      <alignment horizontal="center"/>
    </xf>
    <xf numFmtId="14" fontId="18" fillId="0" borderId="39" xfId="8" applyNumberFormat="1" applyFont="1" applyBorder="1"/>
    <xf numFmtId="0" fontId="19" fillId="19" borderId="40" xfId="8" applyFont="1" applyFill="1" applyBorder="1" applyAlignment="1">
      <alignment vertical="center" wrapText="1"/>
    </xf>
    <xf numFmtId="0" fontId="19" fillId="5" borderId="41" xfId="8" applyFont="1" applyFill="1" applyBorder="1" applyAlignment="1" applyProtection="1">
      <alignment horizontal="left"/>
      <protection locked="0"/>
    </xf>
    <xf numFmtId="0" fontId="19" fillId="19" borderId="18" xfId="8" applyFont="1" applyFill="1" applyBorder="1" applyAlignment="1">
      <alignment vertical="justify"/>
    </xf>
    <xf numFmtId="0" fontId="9" fillId="18" borderId="21" xfId="8" applyFill="1" applyBorder="1"/>
    <xf numFmtId="0" fontId="9" fillId="18" borderId="20" xfId="8" applyFill="1" applyBorder="1"/>
    <xf numFmtId="4" fontId="9" fillId="18" borderId="20" xfId="8" applyNumberFormat="1" applyFill="1" applyBorder="1"/>
    <xf numFmtId="0" fontId="9" fillId="18" borderId="19" xfId="8" applyFill="1" applyBorder="1"/>
    <xf numFmtId="4" fontId="9" fillId="0" borderId="0" xfId="8" applyNumberFormat="1"/>
    <xf numFmtId="0" fontId="9" fillId="0" borderId="0" xfId="8"/>
    <xf numFmtId="0" fontId="23" fillId="8" borderId="44" xfId="3" applyFont="1" applyFill="1" applyBorder="1" applyAlignment="1">
      <alignment horizontal="center" vertical="center"/>
    </xf>
    <xf numFmtId="0" fontId="2" fillId="0" borderId="4" xfId="2" applyFill="1" applyBorder="1" applyAlignment="1">
      <alignment horizontal="center"/>
    </xf>
    <xf numFmtId="0" fontId="2" fillId="0" borderId="14" xfId="2" applyFill="1" applyBorder="1" applyAlignment="1">
      <alignment horizontal="center"/>
    </xf>
    <xf numFmtId="0" fontId="2" fillId="0" borderId="5" xfId="2" applyFill="1" applyBorder="1" applyAlignment="1">
      <alignment horizontal="center"/>
    </xf>
    <xf numFmtId="0" fontId="24" fillId="2" borderId="45" xfId="3" applyFont="1" applyBorder="1" applyAlignment="1">
      <alignment horizontal="center"/>
    </xf>
    <xf numFmtId="0" fontId="2" fillId="0" borderId="6" xfId="2" applyFill="1" applyBorder="1"/>
    <xf numFmtId="0" fontId="2" fillId="0" borderId="13" xfId="2" applyFill="1" applyBorder="1"/>
    <xf numFmtId="14" fontId="2" fillId="0" borderId="7" xfId="2" applyNumberFormat="1" applyFill="1" applyBorder="1" applyAlignment="1">
      <alignment horizontal="center"/>
    </xf>
    <xf numFmtId="0" fontId="2" fillId="0" borderId="8" xfId="2" applyFill="1" applyBorder="1"/>
    <xf numFmtId="0" fontId="2" fillId="0" borderId="15" xfId="2" applyFill="1" applyBorder="1"/>
    <xf numFmtId="14" fontId="2" fillId="0" borderId="9" xfId="2" applyNumberFormat="1" applyFill="1" applyBorder="1" applyAlignment="1">
      <alignment horizontal="center"/>
    </xf>
    <xf numFmtId="0" fontId="27" fillId="0" borderId="0" xfId="0" applyFont="1"/>
    <xf numFmtId="0" fontId="9" fillId="0" borderId="36" xfId="8" applyBorder="1" applyProtection="1">
      <protection hidden="1"/>
    </xf>
    <xf numFmtId="0" fontId="9" fillId="0" borderId="38" xfId="8" applyBorder="1" applyProtection="1">
      <protection hidden="1"/>
    </xf>
    <xf numFmtId="0" fontId="12" fillId="23" borderId="46" xfId="0" applyFont="1" applyFill="1" applyBorder="1"/>
    <xf numFmtId="44" fontId="0" fillId="0" borderId="46" xfId="1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16" borderId="46" xfId="0" applyFont="1" applyFill="1" applyBorder="1" applyAlignment="1">
      <alignment vertical="center"/>
    </xf>
    <xf numFmtId="0" fontId="12" fillId="16" borderId="46" xfId="0" applyFont="1" applyFill="1" applyBorder="1" applyAlignment="1">
      <alignment horizontal="center" vertical="center"/>
    </xf>
    <xf numFmtId="0" fontId="0" fillId="0" borderId="46" xfId="0" applyBorder="1"/>
    <xf numFmtId="0" fontId="28" fillId="24" borderId="47" xfId="0" applyFont="1" applyFill="1" applyBorder="1" applyAlignment="1">
      <alignment vertical="center"/>
    </xf>
    <xf numFmtId="0" fontId="0" fillId="0" borderId="47" xfId="0" applyBorder="1" applyAlignment="1">
      <alignment vertical="center"/>
    </xf>
    <xf numFmtId="0" fontId="0" fillId="0" borderId="47" xfId="0" applyBorder="1" applyAlignment="1">
      <alignment horizontal="left" vertical="center"/>
    </xf>
    <xf numFmtId="0" fontId="0" fillId="0" borderId="47" xfId="0" applyBorder="1" applyAlignment="1">
      <alignment horizontal="center" vertical="center"/>
    </xf>
    <xf numFmtId="0" fontId="0" fillId="0" borderId="0" xfId="0" applyAlignment="1">
      <alignment vertical="center"/>
    </xf>
    <xf numFmtId="0" fontId="29" fillId="16" borderId="13" xfId="0" applyFont="1" applyFill="1" applyBorder="1" applyAlignment="1">
      <alignment horizontal="center" vertical="center"/>
    </xf>
    <xf numFmtId="14" fontId="29" fillId="0" borderId="13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4" fontId="30" fillId="0" borderId="13" xfId="0" applyNumberFormat="1" applyFont="1" applyBorder="1" applyAlignment="1">
      <alignment horizontal="center" vertical="center"/>
    </xf>
    <xf numFmtId="20" fontId="29" fillId="23" borderId="13" xfId="0" applyNumberFormat="1" applyFont="1" applyFill="1" applyBorder="1" applyAlignment="1">
      <alignment horizontal="center"/>
    </xf>
    <xf numFmtId="0" fontId="29" fillId="0" borderId="13" xfId="0" applyFont="1" applyBorder="1"/>
    <xf numFmtId="0" fontId="31" fillId="25" borderId="13" xfId="0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26" borderId="13" xfId="0" applyFont="1" applyFill="1" applyBorder="1" applyAlignment="1">
      <alignment horizontal="left" wrapText="1"/>
    </xf>
    <xf numFmtId="0" fontId="0" fillId="0" borderId="13" xfId="0" applyBorder="1" applyAlignment="1">
      <alignment horizontal="left"/>
    </xf>
    <xf numFmtId="14" fontId="0" fillId="0" borderId="13" xfId="0" applyNumberFormat="1" applyBorder="1" applyAlignment="1">
      <alignment horizontal="left"/>
    </xf>
    <xf numFmtId="168" fontId="0" fillId="0" borderId="13" xfId="0" applyNumberFormat="1" applyBorder="1" applyAlignment="1">
      <alignment horizontal="left"/>
    </xf>
    <xf numFmtId="0" fontId="26" fillId="0" borderId="22" xfId="0" applyFont="1" applyBorder="1" applyAlignment="1">
      <alignment horizontal="left" vertical="top" wrapText="1"/>
    </xf>
    <xf numFmtId="0" fontId="26" fillId="0" borderId="0" xfId="0" applyFont="1" applyAlignment="1">
      <alignment horizontal="left" vertical="top" wrapText="1"/>
    </xf>
    <xf numFmtId="0" fontId="26" fillId="0" borderId="19" xfId="0" applyFont="1" applyBorder="1" applyAlignment="1">
      <alignment horizontal="left" vertical="top" wrapText="1"/>
    </xf>
    <xf numFmtId="0" fontId="26" fillId="0" borderId="20" xfId="0" applyFont="1" applyBorder="1" applyAlignment="1">
      <alignment horizontal="left" vertical="top" wrapText="1"/>
    </xf>
    <xf numFmtId="0" fontId="21" fillId="0" borderId="0" xfId="0" applyFont="1" applyAlignment="1">
      <alignment horizontal="center"/>
    </xf>
    <xf numFmtId="0" fontId="22" fillId="2" borderId="42" xfId="3" applyFont="1" applyBorder="1" applyAlignment="1">
      <alignment horizontal="center" vertical="center"/>
    </xf>
    <xf numFmtId="0" fontId="22" fillId="2" borderId="43" xfId="3" applyFont="1" applyBorder="1" applyAlignment="1">
      <alignment horizontal="center" vertical="center"/>
    </xf>
    <xf numFmtId="0" fontId="32" fillId="25" borderId="0" xfId="0" applyFont="1" applyFill="1" applyAlignment="1">
      <alignment horizontal="center" vertical="center"/>
    </xf>
    <xf numFmtId="0" fontId="20" fillId="18" borderId="0" xfId="8" applyFont="1" applyFill="1" applyAlignment="1">
      <alignment horizontal="center"/>
    </xf>
    <xf numFmtId="4" fontId="19" fillId="19" borderId="13" xfId="8" applyNumberFormat="1" applyFont="1" applyFill="1" applyBorder="1" applyAlignment="1">
      <alignment horizontal="center" vertical="center"/>
    </xf>
    <xf numFmtId="0" fontId="18" fillId="0" borderId="13" xfId="8" applyFont="1" applyBorder="1" applyAlignment="1">
      <alignment horizontal="center"/>
    </xf>
    <xf numFmtId="0" fontId="19" fillId="19" borderId="13" xfId="8" applyFont="1" applyFill="1" applyBorder="1" applyAlignment="1">
      <alignment horizontal="center" vertical="center"/>
    </xf>
    <xf numFmtId="1" fontId="18" fillId="0" borderId="13" xfId="8" applyNumberFormat="1" applyFont="1" applyBorder="1" applyAlignment="1">
      <alignment horizontal="center"/>
    </xf>
    <xf numFmtId="0" fontId="10" fillId="13" borderId="13" xfId="4" applyFont="1" applyFill="1" applyBorder="1" applyAlignment="1">
      <alignment horizontal="center"/>
    </xf>
    <xf numFmtId="0" fontId="9" fillId="0" borderId="19" xfId="4" applyBorder="1" applyAlignment="1">
      <alignment horizontal="center" wrapText="1"/>
    </xf>
    <xf numFmtId="0" fontId="9" fillId="0" borderId="20" xfId="4" applyBorder="1" applyAlignment="1">
      <alignment horizontal="center" wrapText="1"/>
    </xf>
    <xf numFmtId="0" fontId="9" fillId="0" borderId="21" xfId="4" applyBorder="1" applyAlignment="1">
      <alignment horizontal="center" wrapText="1"/>
    </xf>
    <xf numFmtId="0" fontId="9" fillId="0" borderId="22" xfId="4" applyBorder="1" applyAlignment="1">
      <alignment horizontal="center" wrapText="1"/>
    </xf>
    <xf numFmtId="0" fontId="9" fillId="0" borderId="0" xfId="4" applyAlignment="1">
      <alignment horizontal="center" wrapText="1"/>
    </xf>
    <xf numFmtId="0" fontId="9" fillId="0" borderId="23" xfId="4" applyBorder="1" applyAlignment="1">
      <alignment horizontal="center" wrapText="1"/>
    </xf>
    <xf numFmtId="0" fontId="9" fillId="0" borderId="24" xfId="4" applyBorder="1" applyAlignment="1">
      <alignment horizontal="center" wrapText="1"/>
    </xf>
    <xf numFmtId="0" fontId="9" fillId="0" borderId="25" xfId="4" applyBorder="1" applyAlignment="1">
      <alignment horizontal="center" wrapText="1"/>
    </xf>
    <xf numFmtId="0" fontId="9" fillId="0" borderId="26" xfId="4" applyBorder="1" applyAlignment="1">
      <alignment horizontal="center" wrapText="1"/>
    </xf>
    <xf numFmtId="0" fontId="12" fillId="16" borderId="28" xfId="0" applyFont="1" applyFill="1" applyBorder="1" applyAlignment="1">
      <alignment horizontal="center" vertical="center"/>
    </xf>
    <xf numFmtId="0" fontId="12" fillId="16" borderId="29" xfId="0" applyFont="1" applyFill="1" applyBorder="1" applyAlignment="1">
      <alignment horizontal="center" vertical="center"/>
    </xf>
    <xf numFmtId="0" fontId="12" fillId="16" borderId="30" xfId="0" applyFont="1" applyFill="1" applyBorder="1" applyAlignment="1">
      <alignment horizontal="center" vertical="center"/>
    </xf>
    <xf numFmtId="0" fontId="12" fillId="16" borderId="31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wrapText="1"/>
    </xf>
  </cellXfs>
  <cellStyles count="17">
    <cellStyle name="40% - Ênfase5" xfId="3" builtinId="47"/>
    <cellStyle name="Moeda" xfId="1" builtinId="4"/>
    <cellStyle name="Moeda 12" xfId="6" xr:uid="{EA609EE5-7A74-4AFD-A3E2-9072773E9489}"/>
    <cellStyle name="Moeda 2" xfId="5" xr:uid="{ABB568CB-1760-4066-A214-36D1E6FBE199}"/>
    <cellStyle name="Moeda 2 2" xfId="12" xr:uid="{C325D9BF-4024-4288-A50B-C9AA6DAB12B7}"/>
    <cellStyle name="Moeda 3" xfId="13" xr:uid="{9B8BF805-491B-4943-B338-9449CEBC8D01}"/>
    <cellStyle name="Moeda 4" xfId="11" xr:uid="{C9F9A504-EDBE-402F-9F91-DFAF6B6E2569}"/>
    <cellStyle name="Moeda 5" xfId="7" xr:uid="{E1346FC6-1F8C-469F-840D-1BFD46CB2001}"/>
    <cellStyle name="Normal" xfId="0" builtinId="0"/>
    <cellStyle name="Normal 2" xfId="4" xr:uid="{6274C44B-AA3F-4E7E-81D7-8C8625DA0314}"/>
    <cellStyle name="Normal 3" xfId="14" xr:uid="{B9EDFF13-9CFE-480D-93C1-69C0ABD02F08}"/>
    <cellStyle name="Normal 4" xfId="8" xr:uid="{580417F5-8EE7-4EAD-BDE5-8DF206ABDC2C}"/>
    <cellStyle name="Porcentagem 2" xfId="15" xr:uid="{C81ECC8E-D757-45E3-A18C-A8CD1EEAA70D}"/>
    <cellStyle name="Porcentagem 3" xfId="9" xr:uid="{3EE909B4-64A0-458F-A8EE-A114FC8EFB02}"/>
    <cellStyle name="Separador de milhares 2" xfId="16" xr:uid="{A4735EF2-886E-438C-8F75-0EA5D6224329}"/>
    <cellStyle name="Título 3" xfId="2" builtinId="18"/>
    <cellStyle name="Vírgula 2" xfId="10" xr:uid="{693DD71F-EF3B-402A-890A-4970F69151AC}"/>
  </cellStyles>
  <dxfs count="11">
    <dxf>
      <fill>
        <patternFill>
          <bgColor rgb="FFFFCDCD"/>
        </patternFill>
      </fill>
    </dxf>
    <dxf>
      <font>
        <color theme="0"/>
      </font>
      <fill>
        <patternFill>
          <bgColor theme="3" tint="-0.24994659260841701"/>
        </patternFill>
      </fill>
    </dxf>
    <dxf>
      <fill>
        <patternFill>
          <bgColor rgb="FFFF0000"/>
        </patternFill>
      </fill>
    </dxf>
    <dxf>
      <font>
        <color theme="4" tint="0.39994506668294322"/>
      </font>
      <fill>
        <patternFill>
          <bgColor theme="6"/>
        </patternFill>
      </fill>
    </dxf>
    <dxf>
      <font>
        <color theme="7" tint="0.79998168889431442"/>
      </font>
    </dxf>
    <dxf>
      <font>
        <strike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12" formatCode="&quot;R$&quot;\ #,##0.00;[Red]\-&quot;R$&quot;\ 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5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114300</xdr:rowOff>
    </xdr:from>
    <xdr:to>
      <xdr:col>19</xdr:col>
      <xdr:colOff>228600</xdr:colOff>
      <xdr:row>4</xdr:row>
      <xdr:rowOff>142875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56AA74A-1872-4CFB-AB9C-EC0A8527D267}"/>
            </a:ext>
          </a:extLst>
        </xdr:cNvPr>
        <xdr:cNvSpPr/>
      </xdr:nvSpPr>
      <xdr:spPr>
        <a:xfrm>
          <a:off x="180975" y="114300"/>
          <a:ext cx="11630025" cy="7905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800"/>
            <a:t>ProcV +</a:t>
          </a:r>
          <a:r>
            <a:rPr lang="pt-BR" sz="4800" baseline="0"/>
            <a:t> índice+Corresp</a:t>
          </a:r>
          <a:endParaRPr lang="pt-BR" sz="4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</xdr:colOff>
      <xdr:row>0</xdr:row>
      <xdr:rowOff>91440</xdr:rowOff>
    </xdr:from>
    <xdr:to>
      <xdr:col>3</xdr:col>
      <xdr:colOff>972312</xdr:colOff>
      <xdr:row>2</xdr:row>
      <xdr:rowOff>143256</xdr:rowOff>
    </xdr:to>
    <xdr:sp macro="[0]!FIltroRelato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AE39749-2823-10CE-53B4-EA2A2655A960}"/>
            </a:ext>
          </a:extLst>
        </xdr:cNvPr>
        <xdr:cNvSpPr/>
      </xdr:nvSpPr>
      <xdr:spPr>
        <a:xfrm>
          <a:off x="3300984" y="91440"/>
          <a:ext cx="963168" cy="4175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Filtro</a:t>
          </a:r>
        </a:p>
      </xdr:txBody>
    </xdr:sp>
    <xdr:clientData/>
  </xdr:twoCellAnchor>
  <xdr:twoCellAnchor>
    <xdr:from>
      <xdr:col>3</xdr:col>
      <xdr:colOff>1030224</xdr:colOff>
      <xdr:row>0</xdr:row>
      <xdr:rowOff>76200</xdr:rowOff>
    </xdr:from>
    <xdr:to>
      <xdr:col>4</xdr:col>
      <xdr:colOff>893064</xdr:colOff>
      <xdr:row>2</xdr:row>
      <xdr:rowOff>137160</xdr:rowOff>
    </xdr:to>
    <xdr:sp macro="[0]!LimparFilt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5265501-8638-87A0-D6C6-E62961C1ADDB}"/>
            </a:ext>
          </a:extLst>
        </xdr:cNvPr>
        <xdr:cNvSpPr/>
      </xdr:nvSpPr>
      <xdr:spPr>
        <a:xfrm>
          <a:off x="4322064" y="76200"/>
          <a:ext cx="960120" cy="4267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 Filtro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0FB8C1-13D9-4708-8D48-4850C874478A}" name="Tabela1" displayName="Tabela1" ref="B3:E19" totalsRowShown="0" headerRowDxfId="10" dataDxfId="9">
  <autoFilter ref="B3:E19" xr:uid="{870FB8C1-13D9-4708-8D48-4850C874478A}"/>
  <tableColumns count="4">
    <tableColumn id="1" xr3:uid="{E1484E4B-B220-4ED7-B91D-F95DBDC25675}" name="CÓD" dataDxfId="8"/>
    <tableColumn id="2" xr3:uid="{13722E97-E387-41ED-9969-382631E909B0}" name="PRODUTO" dataDxfId="7"/>
    <tableColumn id="3" xr3:uid="{52D0E426-0F40-48FB-8211-086D8C5CEAE9}" name="LOJA" dataDxfId="6"/>
    <tableColumn id="4" xr3:uid="{884FAC16-CEB6-4D10-9387-86C08D12606F}" name="VALOR UNIT" dataDxfId="5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A6931-271A-4783-B834-A47EC3D57EDF}"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A053-55DC-4F6A-BA6D-46BA7EF0E694}">
  <dimension ref="A1:F25"/>
  <sheetViews>
    <sheetView workbookViewId="0">
      <selection activeCell="A4" sqref="A4"/>
    </sheetView>
  </sheetViews>
  <sheetFormatPr defaultRowHeight="14.4"/>
  <sheetData>
    <row r="1" spans="1:5" ht="17.399999999999999">
      <c r="A1" s="69" t="s">
        <v>144</v>
      </c>
    </row>
    <row r="3" spans="1:5">
      <c r="A3" s="70" t="s">
        <v>145</v>
      </c>
      <c r="B3" s="70" t="s">
        <v>146</v>
      </c>
      <c r="C3" s="70" t="s">
        <v>147</v>
      </c>
      <c r="D3" s="70" t="s">
        <v>148</v>
      </c>
      <c r="E3" s="70" t="s">
        <v>149</v>
      </c>
    </row>
    <row r="4" spans="1:5">
      <c r="A4" s="34" t="s">
        <v>150</v>
      </c>
      <c r="B4" s="34" t="s">
        <v>151</v>
      </c>
      <c r="C4" s="34" t="s">
        <v>152</v>
      </c>
      <c r="D4" s="34" t="s">
        <v>153</v>
      </c>
      <c r="E4" s="34">
        <v>1100</v>
      </c>
    </row>
    <row r="5" spans="1:5">
      <c r="A5" s="34" t="s">
        <v>154</v>
      </c>
      <c r="B5" s="34" t="s">
        <v>155</v>
      </c>
      <c r="C5" s="34" t="s">
        <v>152</v>
      </c>
      <c r="D5" s="34" t="s">
        <v>153</v>
      </c>
      <c r="E5" s="34">
        <v>920</v>
      </c>
    </row>
    <row r="6" spans="1:5">
      <c r="A6" s="34" t="s">
        <v>156</v>
      </c>
      <c r="B6" s="34" t="s">
        <v>151</v>
      </c>
      <c r="C6" s="34" t="s">
        <v>157</v>
      </c>
      <c r="D6" s="34" t="s">
        <v>158</v>
      </c>
      <c r="E6" s="34">
        <v>1100</v>
      </c>
    </row>
    <row r="7" spans="1:5">
      <c r="A7" s="34" t="s">
        <v>159</v>
      </c>
      <c r="B7" s="34" t="s">
        <v>160</v>
      </c>
      <c r="C7" s="34" t="s">
        <v>157</v>
      </c>
      <c r="D7" s="34" t="s">
        <v>158</v>
      </c>
      <c r="E7" s="34">
        <v>760</v>
      </c>
    </row>
    <row r="8" spans="1:5">
      <c r="A8" s="34" t="s">
        <v>161</v>
      </c>
      <c r="B8" s="34" t="s">
        <v>155</v>
      </c>
      <c r="C8" s="34" t="s">
        <v>162</v>
      </c>
      <c r="D8" s="34" t="s">
        <v>163</v>
      </c>
      <c r="E8" s="34">
        <v>1380</v>
      </c>
    </row>
    <row r="9" spans="1:5">
      <c r="A9" s="34" t="s">
        <v>164</v>
      </c>
      <c r="B9" s="34" t="s">
        <v>151</v>
      </c>
      <c r="C9" s="34" t="s">
        <v>157</v>
      </c>
      <c r="D9" s="34" t="s">
        <v>165</v>
      </c>
      <c r="E9" s="34">
        <v>1100</v>
      </c>
    </row>
    <row r="10" spans="1:5">
      <c r="A10" s="34" t="s">
        <v>166</v>
      </c>
      <c r="B10" s="34" t="s">
        <v>167</v>
      </c>
      <c r="C10" s="34" t="s">
        <v>157</v>
      </c>
      <c r="D10" s="34" t="s">
        <v>165</v>
      </c>
      <c r="E10" s="34">
        <v>850</v>
      </c>
    </row>
    <row r="11" spans="1:5">
      <c r="A11" s="34" t="s">
        <v>168</v>
      </c>
      <c r="B11" s="34" t="s">
        <v>160</v>
      </c>
      <c r="C11" s="34" t="s">
        <v>157</v>
      </c>
      <c r="D11" s="34" t="s">
        <v>169</v>
      </c>
      <c r="E11" s="34">
        <v>760</v>
      </c>
    </row>
    <row r="12" spans="1:5">
      <c r="A12" s="34" t="s">
        <v>170</v>
      </c>
      <c r="B12" s="34" t="s">
        <v>167</v>
      </c>
      <c r="C12" s="34" t="s">
        <v>171</v>
      </c>
      <c r="D12" s="34" t="s">
        <v>172</v>
      </c>
      <c r="E12" s="34">
        <v>1250</v>
      </c>
    </row>
    <row r="13" spans="1:5">
      <c r="A13" s="34" t="s">
        <v>173</v>
      </c>
      <c r="B13" s="34" t="s">
        <v>160</v>
      </c>
      <c r="C13" s="34" t="s">
        <v>162</v>
      </c>
      <c r="D13" s="34" t="s">
        <v>174</v>
      </c>
      <c r="E13" s="34">
        <v>1300</v>
      </c>
    </row>
    <row r="14" spans="1:5">
      <c r="A14" s="34" t="s">
        <v>175</v>
      </c>
      <c r="B14" s="34" t="s">
        <v>151</v>
      </c>
      <c r="C14" s="34" t="s">
        <v>152</v>
      </c>
      <c r="D14" s="34" t="s">
        <v>176</v>
      </c>
      <c r="E14" s="34">
        <v>1600</v>
      </c>
    </row>
    <row r="15" spans="1:5">
      <c r="A15" s="34" t="s">
        <v>177</v>
      </c>
      <c r="B15" s="34" t="s">
        <v>151</v>
      </c>
      <c r="C15" s="34" t="s">
        <v>171</v>
      </c>
      <c r="D15" s="34" t="s">
        <v>178</v>
      </c>
      <c r="E15" s="34">
        <v>1100</v>
      </c>
    </row>
    <row r="16" spans="1:5">
      <c r="A16" s="34" t="s">
        <v>179</v>
      </c>
      <c r="B16" s="34" t="s">
        <v>167</v>
      </c>
      <c r="C16" s="34" t="s">
        <v>171</v>
      </c>
      <c r="D16" s="34" t="s">
        <v>178</v>
      </c>
      <c r="E16" s="34">
        <v>850</v>
      </c>
    </row>
    <row r="17" spans="1:6">
      <c r="A17" s="34" t="s">
        <v>180</v>
      </c>
      <c r="B17" s="34" t="s">
        <v>155</v>
      </c>
      <c r="C17" s="34" t="s">
        <v>162</v>
      </c>
      <c r="D17" s="34" t="s">
        <v>181</v>
      </c>
      <c r="E17" s="34">
        <v>920</v>
      </c>
    </row>
    <row r="18" spans="1:6">
      <c r="A18" s="34" t="s">
        <v>182</v>
      </c>
      <c r="B18" s="34" t="s">
        <v>167</v>
      </c>
      <c r="C18" s="34" t="s">
        <v>162</v>
      </c>
      <c r="D18" s="34" t="s">
        <v>181</v>
      </c>
      <c r="E18" s="34">
        <v>850</v>
      </c>
    </row>
    <row r="19" spans="1:6" ht="15.6">
      <c r="A19" s="34" t="s">
        <v>183</v>
      </c>
      <c r="B19" s="34" t="s">
        <v>160</v>
      </c>
      <c r="C19" s="34" t="s">
        <v>152</v>
      </c>
      <c r="D19" s="34" t="s">
        <v>184</v>
      </c>
      <c r="E19" s="34">
        <v>760</v>
      </c>
      <c r="F19" s="71"/>
    </row>
    <row r="20" spans="1:6" ht="15.6">
      <c r="A20" s="71"/>
      <c r="B20" s="71"/>
      <c r="C20" s="71"/>
      <c r="D20" s="71"/>
      <c r="E20" s="71"/>
      <c r="F20" s="71"/>
    </row>
    <row r="21" spans="1:6" ht="15.6">
      <c r="A21" s="72" t="s">
        <v>185</v>
      </c>
      <c r="B21" s="71"/>
      <c r="C21" s="71"/>
      <c r="D21" s="71"/>
      <c r="E21" s="71"/>
      <c r="F21" s="71"/>
    </row>
    <row r="22" spans="1:6" ht="15.6">
      <c r="A22" s="71"/>
      <c r="B22" s="71"/>
      <c r="C22" s="71"/>
      <c r="D22" s="71"/>
      <c r="E22" s="71"/>
      <c r="F22" s="71"/>
    </row>
    <row r="23" spans="1:6" ht="15.6">
      <c r="A23" s="71" t="s">
        <v>186</v>
      </c>
      <c r="B23" s="71"/>
      <c r="C23" s="71"/>
      <c r="D23" s="71"/>
      <c r="E23" s="71"/>
      <c r="F23" s="71"/>
    </row>
    <row r="24" spans="1:6" ht="15.6">
      <c r="A24" s="71" t="s">
        <v>187</v>
      </c>
      <c r="B24" s="71"/>
      <c r="C24" s="71"/>
      <c r="D24" s="71"/>
      <c r="E24" s="71"/>
      <c r="F24" s="71"/>
    </row>
    <row r="25" spans="1:6" ht="15.6">
      <c r="A25" s="71"/>
      <c r="B25" s="73" t="s">
        <v>188</v>
      </c>
      <c r="C25" s="71"/>
      <c r="D25" s="71"/>
      <c r="E25" s="71"/>
      <c r="F25" s="71"/>
    </row>
  </sheetData>
  <conditionalFormatting sqref="A4:E19">
    <cfRule type="expression" dxfId="4" priority="1">
      <formula>$C4="MG"</formula>
    </cfRule>
    <cfRule type="expression" dxfId="3" priority="2">
      <formula>$B4="Comercial"</formula>
    </cfRule>
    <cfRule type="expression" dxfId="2" priority="3">
      <formula>$B4="RH"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47DB9-B163-4767-A4A3-866CF342198C}">
  <dimension ref="A1:M35"/>
  <sheetViews>
    <sheetView topLeftCell="A19" workbookViewId="0">
      <selection activeCell="A35" sqref="A35:M35"/>
    </sheetView>
  </sheetViews>
  <sheetFormatPr defaultRowHeight="14.4"/>
  <sheetData>
    <row r="1" spans="1:6">
      <c r="A1" s="74" t="s">
        <v>189</v>
      </c>
      <c r="B1" s="74" t="s">
        <v>190</v>
      </c>
      <c r="C1" s="74" t="s">
        <v>191</v>
      </c>
      <c r="D1" s="77"/>
      <c r="E1" s="77"/>
      <c r="F1" s="77"/>
    </row>
    <row r="2" spans="1:6">
      <c r="A2" s="76" t="s">
        <v>192</v>
      </c>
      <c r="B2" s="76">
        <v>100</v>
      </c>
      <c r="C2" s="76">
        <v>80</v>
      </c>
      <c r="D2" s="77"/>
      <c r="E2" s="77"/>
      <c r="F2" s="77"/>
    </row>
    <row r="3" spans="1:6">
      <c r="A3" s="75" t="s">
        <v>193</v>
      </c>
      <c r="B3" s="75">
        <v>50</v>
      </c>
      <c r="C3" s="75">
        <v>30</v>
      </c>
      <c r="D3" s="77"/>
      <c r="E3" s="77"/>
      <c r="F3" s="77"/>
    </row>
    <row r="4" spans="1:6">
      <c r="A4" s="76" t="s">
        <v>194</v>
      </c>
      <c r="B4" s="76">
        <v>80</v>
      </c>
      <c r="C4" s="76">
        <v>90</v>
      </c>
      <c r="D4" s="77"/>
      <c r="E4" s="77"/>
      <c r="F4" s="77"/>
    </row>
    <row r="5" spans="1:6">
      <c r="A5" s="75" t="s">
        <v>195</v>
      </c>
      <c r="B5" s="75">
        <v>60</v>
      </c>
      <c r="C5" s="75">
        <v>70</v>
      </c>
      <c r="D5" s="77"/>
      <c r="E5" s="77"/>
      <c r="F5" s="77"/>
    </row>
    <row r="6" spans="1:6">
      <c r="A6" s="76" t="s">
        <v>196</v>
      </c>
      <c r="B6" s="76">
        <v>30</v>
      </c>
      <c r="C6" s="76">
        <v>20</v>
      </c>
      <c r="D6" s="77"/>
      <c r="E6" s="77"/>
      <c r="F6" s="77"/>
    </row>
    <row r="7" spans="1:6">
      <c r="A7" s="75" t="s">
        <v>197</v>
      </c>
      <c r="B7" s="75">
        <v>70</v>
      </c>
      <c r="C7" s="75">
        <v>80</v>
      </c>
      <c r="D7" s="77"/>
      <c r="E7" s="77"/>
      <c r="F7" s="77"/>
    </row>
    <row r="8" spans="1:6">
      <c r="A8" s="76" t="s">
        <v>198</v>
      </c>
      <c r="B8" s="76">
        <v>40</v>
      </c>
      <c r="C8" s="76">
        <v>35</v>
      </c>
      <c r="D8" s="77"/>
      <c r="E8" s="77"/>
      <c r="F8" s="77"/>
    </row>
    <row r="9" spans="1:6">
      <c r="A9" s="75" t="s">
        <v>199</v>
      </c>
      <c r="B9" s="75">
        <v>50</v>
      </c>
      <c r="C9" s="75">
        <v>55</v>
      </c>
      <c r="D9" s="77"/>
      <c r="E9" s="77"/>
      <c r="F9" s="77"/>
    </row>
    <row r="10" spans="1:6">
      <c r="A10" s="76" t="s">
        <v>200</v>
      </c>
      <c r="B10" s="76">
        <v>30</v>
      </c>
      <c r="C10" s="76">
        <v>40</v>
      </c>
      <c r="D10" s="77"/>
      <c r="E10" s="77"/>
      <c r="F10" s="77"/>
    </row>
    <row r="11" spans="1:6">
      <c r="A11" s="75" t="s">
        <v>201</v>
      </c>
      <c r="B11" s="75">
        <v>120</v>
      </c>
      <c r="C11" s="75">
        <v>100</v>
      </c>
      <c r="D11" s="77"/>
      <c r="E11" s="77"/>
      <c r="F11" s="77"/>
    </row>
    <row r="12" spans="1:6">
      <c r="A12" s="76" t="s">
        <v>202</v>
      </c>
      <c r="B12" s="76">
        <v>40</v>
      </c>
      <c r="C12" s="76">
        <v>45</v>
      </c>
      <c r="D12" s="77"/>
      <c r="E12" s="77"/>
      <c r="F12" s="77"/>
    </row>
    <row r="13" spans="1:6">
      <c r="A13" s="75" t="s">
        <v>203</v>
      </c>
      <c r="B13" s="75">
        <v>60</v>
      </c>
      <c r="C13" s="75">
        <v>70</v>
      </c>
      <c r="D13" s="77"/>
      <c r="E13" s="77"/>
      <c r="F13" s="77"/>
    </row>
    <row r="14" spans="1:6">
      <c r="A14" s="76" t="s">
        <v>204</v>
      </c>
      <c r="B14" s="76">
        <v>45</v>
      </c>
      <c r="C14" s="76">
        <v>50</v>
      </c>
      <c r="D14" s="77"/>
      <c r="E14" s="77"/>
      <c r="F14" s="77"/>
    </row>
    <row r="15" spans="1:6">
      <c r="A15" s="75" t="s">
        <v>205</v>
      </c>
      <c r="B15" s="75">
        <v>25</v>
      </c>
      <c r="C15" s="75">
        <v>20</v>
      </c>
      <c r="D15" s="77"/>
      <c r="E15" s="77"/>
      <c r="F15" s="77"/>
    </row>
    <row r="16" spans="1:6">
      <c r="A16" s="76" t="s">
        <v>206</v>
      </c>
      <c r="B16" s="76">
        <v>20</v>
      </c>
      <c r="C16" s="76">
        <v>25</v>
      </c>
      <c r="D16" s="77"/>
      <c r="E16" s="77"/>
      <c r="F16" s="77"/>
    </row>
    <row r="17" spans="1:13">
      <c r="A17" s="75" t="s">
        <v>207</v>
      </c>
      <c r="B17" s="75">
        <v>15</v>
      </c>
      <c r="C17" s="75">
        <v>10</v>
      </c>
      <c r="D17" s="77"/>
      <c r="E17" s="77"/>
      <c r="F17" s="77"/>
    </row>
    <row r="18" spans="1:13">
      <c r="A18" s="76" t="s">
        <v>208</v>
      </c>
      <c r="B18" s="76">
        <v>30</v>
      </c>
      <c r="C18" s="76">
        <v>40</v>
      </c>
      <c r="D18" s="77"/>
      <c r="E18" s="77"/>
      <c r="F18" s="77"/>
    </row>
    <row r="19" spans="1:13">
      <c r="A19" s="75" t="s">
        <v>209</v>
      </c>
      <c r="B19" s="75">
        <v>25</v>
      </c>
      <c r="C19" s="75">
        <v>30</v>
      </c>
      <c r="D19" s="77"/>
      <c r="E19" s="77"/>
      <c r="F19" s="77"/>
    </row>
    <row r="20" spans="1:13">
      <c r="A20" s="76" t="s">
        <v>210</v>
      </c>
      <c r="B20" s="76">
        <v>20</v>
      </c>
      <c r="C20" s="76">
        <v>18</v>
      </c>
      <c r="D20" s="77"/>
      <c r="E20" s="77"/>
      <c r="F20" s="77"/>
    </row>
    <row r="21" spans="1:13">
      <c r="A21" s="75" t="s">
        <v>211</v>
      </c>
      <c r="B21" s="75">
        <v>15</v>
      </c>
      <c r="C21" s="75">
        <v>20</v>
      </c>
      <c r="D21" s="77"/>
      <c r="E21" s="77"/>
      <c r="F21" s="77"/>
    </row>
    <row r="22" spans="1:13">
      <c r="A22" s="76" t="s">
        <v>212</v>
      </c>
      <c r="B22" s="76">
        <v>30</v>
      </c>
      <c r="C22" s="76">
        <v>35</v>
      </c>
      <c r="D22" s="77"/>
      <c r="E22" s="77"/>
      <c r="F22" s="77"/>
    </row>
    <row r="23" spans="1:13">
      <c r="A23" s="75" t="s">
        <v>213</v>
      </c>
      <c r="B23" s="75">
        <v>25</v>
      </c>
      <c r="C23" s="75">
        <v>30</v>
      </c>
      <c r="D23" s="77"/>
      <c r="E23" s="77"/>
      <c r="F23" s="77"/>
    </row>
    <row r="24" spans="1:13">
      <c r="A24" s="76" t="s">
        <v>214</v>
      </c>
      <c r="B24" s="76">
        <v>20</v>
      </c>
      <c r="C24" s="76">
        <v>15</v>
      </c>
      <c r="D24" s="77"/>
      <c r="E24" s="77"/>
      <c r="F24" s="77"/>
    </row>
    <row r="25" spans="1:13">
      <c r="A25" s="75" t="s">
        <v>215</v>
      </c>
      <c r="B25" s="75">
        <v>15</v>
      </c>
      <c r="C25" s="75">
        <v>10</v>
      </c>
      <c r="D25" s="77"/>
      <c r="E25" s="77"/>
      <c r="F25" s="77"/>
    </row>
    <row r="28" spans="1:13" ht="15" thickBot="1">
      <c r="A28" s="129" t="s">
        <v>216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</row>
    <row r="29" spans="1:13" ht="30" customHeight="1">
      <c r="A29" s="160" t="s">
        <v>217</v>
      </c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61"/>
      <c r="M29" s="161"/>
    </row>
    <row r="30" spans="1:13" ht="15" customHeight="1">
      <c r="A30" s="158" t="s">
        <v>218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</row>
    <row r="31" spans="1:13" ht="15" customHeight="1">
      <c r="A31" s="158" t="s">
        <v>219</v>
      </c>
      <c r="B31" s="159"/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59"/>
    </row>
    <row r="32" spans="1:13" ht="15" customHeight="1">
      <c r="A32" s="158" t="s">
        <v>220</v>
      </c>
      <c r="B32" s="159"/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</row>
    <row r="33" spans="1:13" ht="15" customHeight="1">
      <c r="A33" s="158" t="s">
        <v>221</v>
      </c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</row>
    <row r="34" spans="1:13" ht="15" customHeight="1">
      <c r="A34" s="158" t="s">
        <v>222</v>
      </c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</row>
    <row r="35" spans="1:13" ht="15" customHeight="1">
      <c r="A35" s="158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</row>
  </sheetData>
  <mergeCells count="7">
    <mergeCell ref="A35:M35"/>
    <mergeCell ref="A29:M29"/>
    <mergeCell ref="A30:M30"/>
    <mergeCell ref="A31:M31"/>
    <mergeCell ref="A32:M32"/>
    <mergeCell ref="A33:M33"/>
    <mergeCell ref="A34:M3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C21CD-27A2-4F27-A537-8BC3E74E436F}">
  <dimension ref="A1:F38"/>
  <sheetViews>
    <sheetView workbookViewId="0">
      <selection sqref="A1:F38"/>
    </sheetView>
  </sheetViews>
  <sheetFormatPr defaultRowHeight="14.4"/>
  <cols>
    <col min="4" max="4" width="19.88671875" bestFit="1" customWidth="1"/>
  </cols>
  <sheetData>
    <row r="1" spans="1:6" ht="25.8">
      <c r="A1" s="162" t="s">
        <v>223</v>
      </c>
      <c r="B1" s="162"/>
      <c r="C1" s="162"/>
      <c r="D1" s="162"/>
    </row>
    <row r="2" spans="1:6" ht="15" thickBot="1"/>
    <row r="3" spans="1:6" ht="24.6" thickTop="1" thickBot="1">
      <c r="A3" s="163" t="s">
        <v>224</v>
      </c>
      <c r="B3" s="164"/>
      <c r="C3" s="118" t="s">
        <v>181</v>
      </c>
    </row>
    <row r="4" spans="1:6" ht="15" thickBot="1"/>
    <row r="5" spans="1:6" ht="16.8" thickTop="1" thickBot="1">
      <c r="A5" s="119" t="s">
        <v>225</v>
      </c>
      <c r="B5" s="120" t="s">
        <v>226</v>
      </c>
      <c r="C5" s="120" t="s">
        <v>227</v>
      </c>
      <c r="D5" s="121" t="s">
        <v>228</v>
      </c>
      <c r="F5" s="122" t="s">
        <v>229</v>
      </c>
    </row>
    <row r="6" spans="1:6">
      <c r="A6" s="123" t="s">
        <v>230</v>
      </c>
      <c r="B6" s="124" t="s">
        <v>181</v>
      </c>
      <c r="C6" s="124" t="s">
        <v>231</v>
      </c>
      <c r="D6" s="125">
        <v>36356</v>
      </c>
      <c r="F6" s="124" t="s">
        <v>181</v>
      </c>
    </row>
    <row r="7" spans="1:6">
      <c r="A7" s="123" t="s">
        <v>232</v>
      </c>
      <c r="B7" s="124" t="s">
        <v>181</v>
      </c>
      <c r="C7" s="124" t="s">
        <v>233</v>
      </c>
      <c r="D7" s="125">
        <v>36387</v>
      </c>
      <c r="F7" s="124" t="s">
        <v>234</v>
      </c>
    </row>
    <row r="8" spans="1:6">
      <c r="A8" s="123" t="s">
        <v>235</v>
      </c>
      <c r="B8" s="124" t="s">
        <v>181</v>
      </c>
      <c r="C8" s="124" t="s">
        <v>236</v>
      </c>
      <c r="D8" s="125">
        <v>37266</v>
      </c>
      <c r="F8" s="124" t="s">
        <v>237</v>
      </c>
    </row>
    <row r="9" spans="1:6">
      <c r="A9" s="123" t="s">
        <v>238</v>
      </c>
      <c r="B9" s="124" t="s">
        <v>181</v>
      </c>
      <c r="C9" s="124" t="s">
        <v>239</v>
      </c>
      <c r="D9" s="125">
        <v>36384</v>
      </c>
      <c r="F9" s="124" t="s">
        <v>240</v>
      </c>
    </row>
    <row r="10" spans="1:6">
      <c r="A10" s="123" t="s">
        <v>241</v>
      </c>
      <c r="B10" s="124" t="s">
        <v>234</v>
      </c>
      <c r="C10" s="124" t="s">
        <v>242</v>
      </c>
      <c r="D10" s="125">
        <v>37274</v>
      </c>
      <c r="F10" s="124" t="s">
        <v>243</v>
      </c>
    </row>
    <row r="11" spans="1:6">
      <c r="A11" s="123" t="s">
        <v>244</v>
      </c>
      <c r="B11" s="124" t="s">
        <v>181</v>
      </c>
      <c r="C11" s="124" t="s">
        <v>245</v>
      </c>
      <c r="D11" s="125">
        <v>36408</v>
      </c>
      <c r="F11" s="124" t="s">
        <v>165</v>
      </c>
    </row>
    <row r="12" spans="1:6">
      <c r="A12" s="123" t="s">
        <v>246</v>
      </c>
      <c r="B12" s="124" t="s">
        <v>237</v>
      </c>
      <c r="C12" s="124" t="s">
        <v>247</v>
      </c>
      <c r="D12" s="125">
        <v>37330</v>
      </c>
    </row>
    <row r="13" spans="1:6">
      <c r="A13" s="123" t="s">
        <v>248</v>
      </c>
      <c r="B13" s="124" t="s">
        <v>181</v>
      </c>
      <c r="C13" s="124" t="s">
        <v>249</v>
      </c>
      <c r="D13" s="125">
        <v>36408</v>
      </c>
    </row>
    <row r="14" spans="1:6">
      <c r="A14" s="123" t="s">
        <v>250</v>
      </c>
      <c r="B14" s="124" t="s">
        <v>181</v>
      </c>
      <c r="C14" s="124" t="s">
        <v>231</v>
      </c>
      <c r="D14" s="125">
        <v>36418</v>
      </c>
    </row>
    <row r="15" spans="1:6">
      <c r="A15" s="123" t="s">
        <v>251</v>
      </c>
      <c r="B15" s="124" t="s">
        <v>240</v>
      </c>
      <c r="C15" s="124" t="s">
        <v>252</v>
      </c>
      <c r="D15" s="125">
        <v>36387</v>
      </c>
    </row>
    <row r="16" spans="1:6">
      <c r="A16" s="123" t="s">
        <v>156</v>
      </c>
      <c r="B16" s="124" t="s">
        <v>181</v>
      </c>
      <c r="C16" s="124" t="s">
        <v>247</v>
      </c>
      <c r="D16" s="125">
        <v>37330</v>
      </c>
    </row>
    <row r="17" spans="1:4">
      <c r="A17" s="123" t="s">
        <v>253</v>
      </c>
      <c r="B17" s="124" t="s">
        <v>243</v>
      </c>
      <c r="C17" s="124" t="s">
        <v>254</v>
      </c>
      <c r="D17" s="125">
        <v>36450</v>
      </c>
    </row>
    <row r="18" spans="1:4">
      <c r="A18" s="123" t="s">
        <v>255</v>
      </c>
      <c r="B18" s="124" t="s">
        <v>181</v>
      </c>
      <c r="C18" s="124" t="s">
        <v>256</v>
      </c>
      <c r="D18" s="125">
        <v>36445</v>
      </c>
    </row>
    <row r="19" spans="1:4">
      <c r="A19" s="123" t="s">
        <v>257</v>
      </c>
      <c r="B19" s="124" t="s">
        <v>181</v>
      </c>
      <c r="C19" s="124" t="s">
        <v>247</v>
      </c>
      <c r="D19" s="125">
        <v>37330</v>
      </c>
    </row>
    <row r="20" spans="1:4">
      <c r="A20" s="123" t="s">
        <v>12</v>
      </c>
      <c r="B20" s="124" t="s">
        <v>243</v>
      </c>
      <c r="C20" s="124" t="s">
        <v>258</v>
      </c>
      <c r="D20" s="125">
        <v>37266</v>
      </c>
    </row>
    <row r="21" spans="1:4">
      <c r="A21" s="123" t="s">
        <v>259</v>
      </c>
      <c r="B21" s="124" t="s">
        <v>181</v>
      </c>
      <c r="C21" s="124" t="s">
        <v>231</v>
      </c>
      <c r="D21" s="125">
        <v>36349</v>
      </c>
    </row>
    <row r="22" spans="1:4">
      <c r="A22" s="123" t="s">
        <v>260</v>
      </c>
      <c r="B22" s="124" t="s">
        <v>165</v>
      </c>
      <c r="C22" s="124" t="s">
        <v>239</v>
      </c>
      <c r="D22" s="125">
        <v>36450</v>
      </c>
    </row>
    <row r="23" spans="1:4">
      <c r="A23" s="123" t="s">
        <v>261</v>
      </c>
      <c r="B23" s="124" t="s">
        <v>165</v>
      </c>
      <c r="C23" s="124" t="s">
        <v>249</v>
      </c>
      <c r="D23" s="125">
        <v>36450</v>
      </c>
    </row>
    <row r="24" spans="1:4">
      <c r="A24" s="123" t="s">
        <v>262</v>
      </c>
      <c r="B24" s="124" t="s">
        <v>165</v>
      </c>
      <c r="C24" s="124" t="s">
        <v>258</v>
      </c>
      <c r="D24" s="125">
        <v>37266</v>
      </c>
    </row>
    <row r="25" spans="1:4">
      <c r="A25" s="123" t="s">
        <v>263</v>
      </c>
      <c r="B25" s="124" t="s">
        <v>243</v>
      </c>
      <c r="C25" s="124" t="s">
        <v>254</v>
      </c>
      <c r="D25" s="125">
        <v>36389</v>
      </c>
    </row>
    <row r="26" spans="1:4">
      <c r="A26" s="123" t="s">
        <v>16</v>
      </c>
      <c r="B26" s="124" t="s">
        <v>181</v>
      </c>
      <c r="C26" s="124" t="s">
        <v>264</v>
      </c>
      <c r="D26" s="125">
        <v>37282</v>
      </c>
    </row>
    <row r="27" spans="1:4">
      <c r="A27" s="123" t="s">
        <v>265</v>
      </c>
      <c r="B27" s="124" t="s">
        <v>237</v>
      </c>
      <c r="C27" s="124" t="s">
        <v>239</v>
      </c>
      <c r="D27" s="125">
        <v>36356</v>
      </c>
    </row>
    <row r="28" spans="1:4">
      <c r="A28" s="123" t="s">
        <v>266</v>
      </c>
      <c r="B28" s="124" t="s">
        <v>234</v>
      </c>
      <c r="C28" s="124" t="s">
        <v>252</v>
      </c>
      <c r="D28" s="125">
        <v>36450</v>
      </c>
    </row>
    <row r="29" spans="1:4">
      <c r="A29" s="123" t="s">
        <v>267</v>
      </c>
      <c r="B29" s="124" t="s">
        <v>234</v>
      </c>
      <c r="C29" s="124" t="s">
        <v>231</v>
      </c>
      <c r="D29" s="125">
        <v>36442</v>
      </c>
    </row>
    <row r="30" spans="1:4">
      <c r="A30" s="123" t="s">
        <v>268</v>
      </c>
      <c r="B30" s="124" t="s">
        <v>240</v>
      </c>
      <c r="C30" s="124" t="s">
        <v>84</v>
      </c>
      <c r="D30" s="125">
        <v>37295</v>
      </c>
    </row>
    <row r="31" spans="1:4">
      <c r="A31" s="123" t="s">
        <v>269</v>
      </c>
      <c r="B31" s="124" t="s">
        <v>237</v>
      </c>
      <c r="C31" s="124" t="s">
        <v>249</v>
      </c>
      <c r="D31" s="125">
        <v>36344</v>
      </c>
    </row>
    <row r="32" spans="1:4">
      <c r="A32" s="123" t="s">
        <v>270</v>
      </c>
      <c r="B32" s="124" t="s">
        <v>181</v>
      </c>
      <c r="C32" s="124" t="s">
        <v>264</v>
      </c>
      <c r="D32" s="125">
        <v>37282</v>
      </c>
    </row>
    <row r="33" spans="1:4">
      <c r="A33" s="123" t="s">
        <v>271</v>
      </c>
      <c r="B33" s="124" t="s">
        <v>181</v>
      </c>
      <c r="C33" s="124" t="s">
        <v>264</v>
      </c>
      <c r="D33" s="125">
        <v>37282</v>
      </c>
    </row>
    <row r="34" spans="1:4">
      <c r="A34" s="123" t="s">
        <v>272</v>
      </c>
      <c r="B34" s="124" t="s">
        <v>181</v>
      </c>
      <c r="C34" s="124" t="s">
        <v>273</v>
      </c>
      <c r="D34" s="125">
        <v>36445</v>
      </c>
    </row>
    <row r="35" spans="1:4">
      <c r="A35" s="123" t="s">
        <v>43</v>
      </c>
      <c r="B35" s="124" t="s">
        <v>165</v>
      </c>
      <c r="C35" s="124" t="s">
        <v>242</v>
      </c>
      <c r="D35" s="125">
        <v>37274</v>
      </c>
    </row>
    <row r="36" spans="1:4">
      <c r="A36" s="123" t="s">
        <v>274</v>
      </c>
      <c r="B36" s="124" t="s">
        <v>165</v>
      </c>
      <c r="C36" s="124" t="s">
        <v>252</v>
      </c>
      <c r="D36" s="125">
        <v>36377</v>
      </c>
    </row>
    <row r="37" spans="1:4">
      <c r="A37" s="123" t="s">
        <v>275</v>
      </c>
      <c r="B37" s="124" t="s">
        <v>240</v>
      </c>
      <c r="C37" s="124" t="s">
        <v>245</v>
      </c>
      <c r="D37" s="125">
        <v>36349</v>
      </c>
    </row>
    <row r="38" spans="1:4" ht="15" thickBot="1">
      <c r="A38" s="126" t="s">
        <v>276</v>
      </c>
      <c r="B38" s="127" t="s">
        <v>181</v>
      </c>
      <c r="C38" s="127" t="s">
        <v>256</v>
      </c>
      <c r="D38" s="128">
        <v>36379</v>
      </c>
    </row>
  </sheetData>
  <mergeCells count="2">
    <mergeCell ref="A1:D1"/>
    <mergeCell ref="A3:B3"/>
  </mergeCells>
  <conditionalFormatting sqref="A6:D38">
    <cfRule type="expression" dxfId="1" priority="1">
      <formula>$B6=$C$3</formula>
    </cfRule>
  </conditionalFormatting>
  <dataValidations count="1">
    <dataValidation type="list" allowBlank="1" showInputMessage="1" showErrorMessage="1" sqref="C3" xr:uid="{3BDF56D8-A878-4A02-94D3-276DD3F5D9CC}">
      <formula1>$F$6:$F$11</formula1>
    </dataValidation>
  </dataValidation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21AB8-B2E9-406A-A0CA-ACDDA610B12B}">
  <dimension ref="A1:O13"/>
  <sheetViews>
    <sheetView workbookViewId="0">
      <selection activeCell="O2" sqref="O2:O13"/>
    </sheetView>
  </sheetViews>
  <sheetFormatPr defaultRowHeight="14.4"/>
  <sheetData>
    <row r="1" spans="1:15" ht="18">
      <c r="A1" s="139" t="s">
        <v>321</v>
      </c>
      <c r="B1" s="139" t="s">
        <v>167</v>
      </c>
      <c r="D1" s="139" t="s">
        <v>321</v>
      </c>
      <c r="E1" s="139" t="s">
        <v>167</v>
      </c>
      <c r="G1" s="139" t="s">
        <v>321</v>
      </c>
      <c r="H1" s="139" t="s">
        <v>167</v>
      </c>
      <c r="I1" s="143"/>
      <c r="K1" s="139" t="s">
        <v>321</v>
      </c>
      <c r="L1" s="139" t="s">
        <v>167</v>
      </c>
      <c r="N1" s="139" t="s">
        <v>321</v>
      </c>
      <c r="O1" s="139" t="s">
        <v>167</v>
      </c>
    </row>
    <row r="2" spans="1:15">
      <c r="A2" s="140" t="s">
        <v>322</v>
      </c>
      <c r="B2" s="141">
        <v>15652</v>
      </c>
      <c r="D2" s="140" t="s">
        <v>322</v>
      </c>
      <c r="E2" s="142">
        <v>15652</v>
      </c>
      <c r="G2" s="140" t="s">
        <v>322</v>
      </c>
      <c r="H2" s="141">
        <v>15652</v>
      </c>
      <c r="I2" s="135">
        <f>H2</f>
        <v>15652</v>
      </c>
      <c r="K2" s="140" t="s">
        <v>322</v>
      </c>
      <c r="L2" s="141">
        <v>15652</v>
      </c>
      <c r="N2" s="140" t="s">
        <v>322</v>
      </c>
      <c r="O2" s="141">
        <v>15652</v>
      </c>
    </row>
    <row r="3" spans="1:15">
      <c r="A3" s="140" t="s">
        <v>323</v>
      </c>
      <c r="B3" s="141">
        <v>13526</v>
      </c>
      <c r="D3" s="140" t="s">
        <v>323</v>
      </c>
      <c r="E3" s="142">
        <v>13526</v>
      </c>
      <c r="G3" s="140" t="s">
        <v>323</v>
      </c>
      <c r="H3" s="141">
        <v>9500</v>
      </c>
      <c r="I3" s="135">
        <f t="shared" ref="I3:I13" si="0">H3</f>
        <v>9500</v>
      </c>
      <c r="K3" s="140" t="s">
        <v>323</v>
      </c>
      <c r="L3" s="141">
        <v>13526</v>
      </c>
      <c r="N3" s="140" t="s">
        <v>323</v>
      </c>
      <c r="O3" s="141">
        <v>13526</v>
      </c>
    </row>
    <row r="4" spans="1:15">
      <c r="A4" s="140" t="s">
        <v>324</v>
      </c>
      <c r="B4" s="141">
        <v>12555</v>
      </c>
      <c r="D4" s="140" t="s">
        <v>324</v>
      </c>
      <c r="E4" s="142">
        <v>12555</v>
      </c>
      <c r="G4" s="140" t="s">
        <v>324</v>
      </c>
      <c r="H4" s="141">
        <v>12555</v>
      </c>
      <c r="I4" s="135">
        <f t="shared" si="0"/>
        <v>12555</v>
      </c>
      <c r="K4" s="140" t="s">
        <v>324</v>
      </c>
      <c r="L4" s="141">
        <v>12555</v>
      </c>
      <c r="N4" s="140" t="s">
        <v>324</v>
      </c>
      <c r="O4" s="141">
        <v>12555</v>
      </c>
    </row>
    <row r="5" spans="1:15">
      <c r="A5" s="140" t="s">
        <v>325</v>
      </c>
      <c r="B5" s="141">
        <v>10526</v>
      </c>
      <c r="D5" s="140" t="s">
        <v>325</v>
      </c>
      <c r="E5" s="142">
        <v>10526</v>
      </c>
      <c r="G5" s="140" t="s">
        <v>325</v>
      </c>
      <c r="H5" s="141">
        <v>10526</v>
      </c>
      <c r="I5" s="135">
        <f t="shared" si="0"/>
        <v>10526</v>
      </c>
      <c r="K5" s="140" t="s">
        <v>325</v>
      </c>
      <c r="L5" s="141">
        <v>10526</v>
      </c>
      <c r="N5" s="140" t="s">
        <v>325</v>
      </c>
      <c r="O5" s="141">
        <v>10526</v>
      </c>
    </row>
    <row r="6" spans="1:15">
      <c r="A6" s="140" t="s">
        <v>326</v>
      </c>
      <c r="B6" s="141">
        <v>12660</v>
      </c>
      <c r="D6" s="140" t="s">
        <v>326</v>
      </c>
      <c r="E6" s="142">
        <v>12660</v>
      </c>
      <c r="G6" s="140" t="s">
        <v>326</v>
      </c>
      <c r="H6" s="141">
        <v>12660</v>
      </c>
      <c r="I6" s="135">
        <f t="shared" si="0"/>
        <v>12660</v>
      </c>
      <c r="K6" s="140" t="s">
        <v>326</v>
      </c>
      <c r="L6" s="141">
        <v>12660</v>
      </c>
      <c r="N6" s="140" t="s">
        <v>326</v>
      </c>
      <c r="O6" s="141">
        <v>12660</v>
      </c>
    </row>
    <row r="7" spans="1:15">
      <c r="A7" s="140" t="s">
        <v>327</v>
      </c>
      <c r="B7" s="141">
        <v>13600</v>
      </c>
      <c r="D7" s="140" t="s">
        <v>327</v>
      </c>
      <c r="E7" s="142">
        <v>13600</v>
      </c>
      <c r="G7" s="140" t="s">
        <v>327</v>
      </c>
      <c r="H7" s="141">
        <v>13600</v>
      </c>
      <c r="I7" s="135">
        <f>H7</f>
        <v>13600</v>
      </c>
      <c r="K7" s="140" t="s">
        <v>327</v>
      </c>
      <c r="L7" s="141">
        <v>13600</v>
      </c>
      <c r="N7" s="140" t="s">
        <v>327</v>
      </c>
      <c r="O7" s="141">
        <v>13600</v>
      </c>
    </row>
    <row r="8" spans="1:15">
      <c r="A8" s="140" t="s">
        <v>328</v>
      </c>
      <c r="B8" s="141">
        <v>14504</v>
      </c>
      <c r="D8" s="140" t="s">
        <v>328</v>
      </c>
      <c r="E8" s="142">
        <v>14504</v>
      </c>
      <c r="G8" s="140" t="s">
        <v>328</v>
      </c>
      <c r="H8" s="141">
        <v>14504</v>
      </c>
      <c r="I8" s="135">
        <f t="shared" si="0"/>
        <v>14504</v>
      </c>
      <c r="K8" s="140" t="s">
        <v>328</v>
      </c>
      <c r="L8" s="141">
        <v>14504</v>
      </c>
      <c r="N8" s="140" t="s">
        <v>328</v>
      </c>
      <c r="O8" s="141">
        <v>14504</v>
      </c>
    </row>
    <row r="9" spans="1:15">
      <c r="A9" s="140" t="s">
        <v>329</v>
      </c>
      <c r="B9" s="141">
        <v>17845</v>
      </c>
      <c r="D9" s="140" t="s">
        <v>329</v>
      </c>
      <c r="E9" s="142">
        <v>17845</v>
      </c>
      <c r="G9" s="140" t="s">
        <v>329</v>
      </c>
      <c r="H9" s="141">
        <v>17845</v>
      </c>
      <c r="I9" s="135">
        <f t="shared" si="0"/>
        <v>17845</v>
      </c>
      <c r="K9" s="140" t="s">
        <v>329</v>
      </c>
      <c r="L9" s="141">
        <v>17845</v>
      </c>
      <c r="N9" s="140" t="s">
        <v>329</v>
      </c>
      <c r="O9" s="141">
        <v>17845</v>
      </c>
    </row>
    <row r="10" spans="1:15">
      <c r="A10" s="140" t="s">
        <v>330</v>
      </c>
      <c r="B10" s="141">
        <v>21669</v>
      </c>
      <c r="D10" s="140" t="s">
        <v>330</v>
      </c>
      <c r="E10" s="142">
        <v>21669</v>
      </c>
      <c r="G10" s="140" t="s">
        <v>330</v>
      </c>
      <c r="H10" s="141">
        <v>21669</v>
      </c>
      <c r="I10" s="135">
        <f t="shared" si="0"/>
        <v>21669</v>
      </c>
      <c r="K10" s="140" t="s">
        <v>330</v>
      </c>
      <c r="L10" s="141">
        <v>21669</v>
      </c>
      <c r="N10" s="140" t="s">
        <v>330</v>
      </c>
      <c r="O10" s="141">
        <v>21669</v>
      </c>
    </row>
    <row r="11" spans="1:15">
      <c r="A11" s="140" t="s">
        <v>331</v>
      </c>
      <c r="B11" s="141">
        <v>18420</v>
      </c>
      <c r="D11" s="140" t="s">
        <v>331</v>
      </c>
      <c r="E11" s="142">
        <v>18420</v>
      </c>
      <c r="G11" s="140" t="s">
        <v>331</v>
      </c>
      <c r="H11" s="141">
        <v>18420</v>
      </c>
      <c r="I11" s="135">
        <f t="shared" si="0"/>
        <v>18420</v>
      </c>
      <c r="K11" s="140" t="s">
        <v>331</v>
      </c>
      <c r="L11" s="141">
        <v>18420</v>
      </c>
      <c r="N11" s="140" t="s">
        <v>331</v>
      </c>
      <c r="O11" s="141">
        <v>18420</v>
      </c>
    </row>
    <row r="12" spans="1:15">
      <c r="A12" s="140" t="s">
        <v>332</v>
      </c>
      <c r="B12" s="141">
        <v>14555</v>
      </c>
      <c r="D12" s="140" t="s">
        <v>332</v>
      </c>
      <c r="E12" s="142">
        <v>14555</v>
      </c>
      <c r="G12" s="140" t="s">
        <v>332</v>
      </c>
      <c r="H12" s="141">
        <v>14555</v>
      </c>
      <c r="I12" s="135">
        <f t="shared" si="0"/>
        <v>14555</v>
      </c>
      <c r="K12" s="140" t="s">
        <v>332</v>
      </c>
      <c r="L12" s="141">
        <v>14555</v>
      </c>
      <c r="N12" s="140" t="s">
        <v>332</v>
      </c>
      <c r="O12" s="141">
        <v>14555</v>
      </c>
    </row>
    <row r="13" spans="1:15">
      <c r="A13" s="140" t="s">
        <v>333</v>
      </c>
      <c r="B13" s="141">
        <v>17701</v>
      </c>
      <c r="D13" s="140" t="s">
        <v>333</v>
      </c>
      <c r="E13" s="142">
        <v>17701</v>
      </c>
      <c r="G13" s="140" t="s">
        <v>333</v>
      </c>
      <c r="H13" s="141">
        <v>17701</v>
      </c>
      <c r="I13" s="135">
        <f t="shared" si="0"/>
        <v>17701</v>
      </c>
      <c r="K13" s="140" t="s">
        <v>333</v>
      </c>
      <c r="L13" s="141">
        <v>17701</v>
      </c>
      <c r="N13" s="140" t="s">
        <v>333</v>
      </c>
      <c r="O13" s="141">
        <v>17701</v>
      </c>
    </row>
  </sheetData>
  <conditionalFormatting sqref="B2:B13">
    <cfRule type="iconSet" priority="6">
      <iconSet>
        <cfvo type="percent" val="0"/>
        <cfvo type="percent" val="33"/>
        <cfvo type="percent" val="67"/>
      </iconSet>
    </cfRule>
  </conditionalFormatting>
  <conditionalFormatting sqref="E2:E13">
    <cfRule type="iconSet" priority="5">
      <iconSet iconSet="3Symbols" showValue="0">
        <cfvo type="percent" val="0"/>
        <cfvo type="percent" val="25"/>
        <cfvo type="percent" val="50"/>
      </iconSet>
    </cfRule>
  </conditionalFormatting>
  <conditionalFormatting sqref="I2:I13">
    <cfRule type="iconSet" priority="4">
      <iconSet showValue="0">
        <cfvo type="percent" val="0"/>
        <cfvo type="num" val="10000"/>
        <cfvo type="num" val="18000"/>
      </iconSet>
    </cfRule>
  </conditionalFormatting>
  <conditionalFormatting sqref="K1:L1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{3F73F437-C1CC-48C0-A410-E7574D83E504}</x14:id>
        </ext>
      </extLst>
    </cfRule>
  </conditionalFormatting>
  <conditionalFormatting sqref="N1:O13">
    <cfRule type="dataBar" priority="1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{72345826-C978-4AF3-9BFD-FAED36A93F40}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73F437-C1CC-48C0-A410-E7574D83E5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K1:L13</xm:sqref>
        </x14:conditionalFormatting>
        <x14:conditionalFormatting xmlns:xm="http://schemas.microsoft.com/office/excel/2006/main">
          <x14:cfRule type="dataBar" id="{72345826-C978-4AF3-9BFD-FAED36A93F4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N1:O13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DC92-EA6B-4A35-9E4C-844240E8CA17}">
  <dimension ref="A1:M19"/>
  <sheetViews>
    <sheetView workbookViewId="0">
      <selection sqref="A1:M19"/>
    </sheetView>
  </sheetViews>
  <sheetFormatPr defaultRowHeight="14.4"/>
  <sheetData>
    <row r="1" spans="1:13" ht="15">
      <c r="A1" s="144" t="s">
        <v>334</v>
      </c>
      <c r="B1" s="145">
        <v>44197</v>
      </c>
      <c r="C1" s="145">
        <v>44198</v>
      </c>
      <c r="D1" s="145">
        <v>44199</v>
      </c>
      <c r="E1" s="145">
        <v>44200</v>
      </c>
      <c r="F1" s="145">
        <v>44201</v>
      </c>
      <c r="G1" s="145">
        <v>44202</v>
      </c>
      <c r="H1" s="145">
        <v>44203</v>
      </c>
      <c r="I1" s="145">
        <v>44204</v>
      </c>
      <c r="J1" s="145">
        <v>44205</v>
      </c>
      <c r="K1" s="145">
        <v>44206</v>
      </c>
      <c r="L1" s="145">
        <v>44207</v>
      </c>
      <c r="M1" s="145">
        <v>44208</v>
      </c>
    </row>
    <row r="2" spans="1:13" ht="15.6">
      <c r="A2" s="146"/>
      <c r="B2" s="147" t="s">
        <v>335</v>
      </c>
      <c r="C2" s="147" t="s">
        <v>334</v>
      </c>
      <c r="D2" s="147" t="s">
        <v>335</v>
      </c>
      <c r="E2" s="147" t="s">
        <v>334</v>
      </c>
      <c r="F2" s="147" t="s">
        <v>334</v>
      </c>
      <c r="G2" s="147" t="s">
        <v>335</v>
      </c>
      <c r="H2" s="147" t="s">
        <v>335</v>
      </c>
      <c r="I2" s="147" t="s">
        <v>334</v>
      </c>
      <c r="J2" s="147" t="s">
        <v>335</v>
      </c>
      <c r="K2" s="147" t="s">
        <v>335</v>
      </c>
      <c r="L2" s="147" t="s">
        <v>334</v>
      </c>
      <c r="M2" s="147" t="s">
        <v>334</v>
      </c>
    </row>
    <row r="3" spans="1:13" ht="15.6">
      <c r="A3" s="148">
        <v>0.25</v>
      </c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</row>
    <row r="4" spans="1:13" ht="15.6">
      <c r="A4" s="148">
        <v>0.26041666666666669</v>
      </c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</row>
    <row r="5" spans="1:13" ht="15.6">
      <c r="A5" s="148">
        <v>0.27083333333333298</v>
      </c>
      <c r="B5" s="149" t="s">
        <v>336</v>
      </c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</row>
    <row r="6" spans="1:13" ht="15.6">
      <c r="A6" s="148">
        <v>0.28125</v>
      </c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6">
      <c r="A7" s="148">
        <v>0.29166666666666702</v>
      </c>
      <c r="B7" s="149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</row>
    <row r="8" spans="1:13" ht="15.6">
      <c r="A8" s="148">
        <v>0.30208333333333298</v>
      </c>
      <c r="B8" s="149"/>
      <c r="C8" s="149"/>
      <c r="D8" s="149"/>
      <c r="E8" s="149"/>
      <c r="F8" s="149"/>
      <c r="G8" s="149"/>
      <c r="H8" s="149"/>
      <c r="I8" s="149"/>
      <c r="J8" s="149"/>
      <c r="K8" s="149"/>
      <c r="L8" s="149"/>
      <c r="M8" s="149"/>
    </row>
    <row r="9" spans="1:13" ht="15.6">
      <c r="A9" s="148">
        <v>0.3125</v>
      </c>
      <c r="B9" s="149"/>
      <c r="C9" s="149"/>
      <c r="D9" s="149"/>
      <c r="E9" s="149"/>
      <c r="F9" s="149"/>
      <c r="G9" s="149"/>
      <c r="H9" s="149"/>
      <c r="I9" s="149"/>
      <c r="J9" s="149"/>
      <c r="K9" s="149"/>
      <c r="L9" s="149"/>
      <c r="M9" s="149"/>
    </row>
    <row r="10" spans="1:13" ht="15.6">
      <c r="A10" s="148">
        <v>0.32291666666666702</v>
      </c>
      <c r="B10" s="149"/>
      <c r="C10" s="149"/>
      <c r="D10" s="149"/>
      <c r="E10" s="149"/>
      <c r="F10" s="149"/>
      <c r="G10" s="149"/>
      <c r="H10" s="149"/>
      <c r="I10" s="149"/>
      <c r="J10" s="149"/>
      <c r="K10" s="149"/>
      <c r="L10" s="149"/>
      <c r="M10" s="149"/>
    </row>
    <row r="11" spans="1:13" ht="15.6">
      <c r="A11" s="148">
        <v>0.33333333333333298</v>
      </c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</row>
    <row r="12" spans="1:13" ht="15.6">
      <c r="A12" s="148">
        <v>0.34375</v>
      </c>
      <c r="B12" s="149"/>
      <c r="C12" s="149"/>
      <c r="D12" s="149"/>
      <c r="E12" s="149"/>
      <c r="F12" s="149"/>
      <c r="G12" s="149"/>
      <c r="H12" s="149"/>
      <c r="I12" s="149"/>
      <c r="J12" s="149"/>
      <c r="K12" s="149"/>
      <c r="L12" s="149"/>
      <c r="M12" s="149"/>
    </row>
    <row r="13" spans="1:13" ht="15.6">
      <c r="A13" s="148">
        <v>0.35416666666666702</v>
      </c>
      <c r="B13" s="149"/>
      <c r="C13" s="149"/>
      <c r="D13" s="149"/>
      <c r="E13" s="149"/>
      <c r="F13" s="149"/>
      <c r="G13" s="149"/>
      <c r="H13" s="149"/>
      <c r="I13" s="149"/>
      <c r="J13" s="149"/>
      <c r="K13" s="149"/>
      <c r="L13" s="149"/>
      <c r="M13" s="149"/>
    </row>
    <row r="14" spans="1:13" ht="15.6">
      <c r="A14" s="148">
        <v>0.36458333333333398</v>
      </c>
      <c r="B14" s="149"/>
      <c r="C14" s="149"/>
      <c r="D14" s="149"/>
      <c r="E14" s="149"/>
      <c r="F14" s="149"/>
      <c r="G14" s="149"/>
      <c r="H14" s="149"/>
      <c r="I14" s="149"/>
      <c r="J14" s="149"/>
      <c r="K14" s="149"/>
      <c r="L14" s="149"/>
      <c r="M14" s="149"/>
    </row>
    <row r="15" spans="1:13" ht="15.6">
      <c r="A15" s="148">
        <v>0.375</v>
      </c>
      <c r="B15" s="149"/>
      <c r="C15" s="149"/>
      <c r="D15" s="149"/>
      <c r="E15" s="149"/>
      <c r="F15" s="149"/>
      <c r="G15" s="149"/>
      <c r="H15" s="149"/>
      <c r="I15" s="149"/>
      <c r="J15" s="149"/>
      <c r="K15" s="149"/>
      <c r="L15" s="149"/>
      <c r="M15" s="149"/>
    </row>
    <row r="16" spans="1:13" ht="15.6">
      <c r="A16" s="148">
        <v>0.38541666666666702</v>
      </c>
      <c r="B16" s="149"/>
      <c r="C16" s="149"/>
      <c r="D16" s="149"/>
      <c r="E16" s="149"/>
      <c r="F16" s="149"/>
      <c r="G16" s="149"/>
      <c r="H16" s="149"/>
      <c r="I16" s="149"/>
      <c r="J16" s="149"/>
      <c r="K16" s="149"/>
      <c r="L16" s="149"/>
      <c r="M16" s="149"/>
    </row>
    <row r="17" spans="1:13" ht="15.6">
      <c r="A17" s="148">
        <v>0.39583333333333398</v>
      </c>
      <c r="B17" s="149"/>
      <c r="C17" s="149"/>
      <c r="D17" s="149"/>
      <c r="E17" s="149"/>
      <c r="F17" s="149"/>
      <c r="G17" s="149"/>
      <c r="H17" s="149"/>
      <c r="I17" s="149"/>
      <c r="J17" s="149"/>
      <c r="K17" s="149"/>
      <c r="L17" s="149"/>
      <c r="M17" s="149"/>
    </row>
    <row r="18" spans="1:13" ht="15.6">
      <c r="A18" s="148">
        <v>0.40625</v>
      </c>
      <c r="B18" s="149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</row>
    <row r="19" spans="1:13" ht="15.6">
      <c r="A19" s="148">
        <v>0.41666666666666702</v>
      </c>
      <c r="B19" s="149"/>
      <c r="C19" s="149"/>
      <c r="D19" s="149"/>
      <c r="E19" s="149"/>
      <c r="F19" s="149"/>
      <c r="G19" s="149"/>
      <c r="H19" s="149"/>
      <c r="I19" s="149"/>
      <c r="J19" s="149"/>
      <c r="K19" s="149"/>
      <c r="L19" s="149"/>
      <c r="M19" s="149"/>
    </row>
  </sheetData>
  <conditionalFormatting sqref="A2:F10 H2:M10 A13:F19 H13:M19">
    <cfRule type="expression" dxfId="0" priority="1">
      <formula>A$2=$A$1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A9095-0FBD-4742-A594-EE86B1D31BCD}">
  <dimension ref="A1:D9"/>
  <sheetViews>
    <sheetView workbookViewId="0">
      <selection sqref="A1:D9"/>
    </sheetView>
  </sheetViews>
  <sheetFormatPr defaultRowHeight="14.4"/>
  <sheetData>
    <row r="1" spans="1:4">
      <c r="A1" s="150" t="s">
        <v>337</v>
      </c>
      <c r="B1" s="150" t="s">
        <v>338</v>
      </c>
      <c r="C1" s="150" t="s">
        <v>339</v>
      </c>
      <c r="D1" s="150" t="s">
        <v>340</v>
      </c>
    </row>
    <row r="2" spans="1:4">
      <c r="A2" s="34" t="s">
        <v>341</v>
      </c>
      <c r="B2" s="34" t="s">
        <v>342</v>
      </c>
      <c r="C2" s="34" t="s">
        <v>343</v>
      </c>
      <c r="D2" s="34" t="s">
        <v>344</v>
      </c>
    </row>
    <row r="3" spans="1:4">
      <c r="A3" s="34" t="s">
        <v>345</v>
      </c>
      <c r="B3" s="34" t="s">
        <v>346</v>
      </c>
      <c r="C3" s="34" t="s">
        <v>192</v>
      </c>
      <c r="D3" s="34" t="s">
        <v>347</v>
      </c>
    </row>
    <row r="4" spans="1:4">
      <c r="A4" s="34" t="s">
        <v>348</v>
      </c>
      <c r="B4" s="34" t="s">
        <v>349</v>
      </c>
      <c r="C4" s="34" t="s">
        <v>350</v>
      </c>
      <c r="D4" s="34" t="s">
        <v>351</v>
      </c>
    </row>
    <row r="5" spans="1:4">
      <c r="A5" s="34" t="s">
        <v>352</v>
      </c>
      <c r="B5" s="34" t="s">
        <v>353</v>
      </c>
      <c r="C5" s="34" t="s">
        <v>354</v>
      </c>
      <c r="D5" s="34" t="s">
        <v>355</v>
      </c>
    </row>
    <row r="6" spans="1:4">
      <c r="A6" s="34" t="s">
        <v>356</v>
      </c>
      <c r="B6" s="34" t="s">
        <v>357</v>
      </c>
      <c r="C6" s="34" t="s">
        <v>358</v>
      </c>
      <c r="D6" s="34" t="s">
        <v>359</v>
      </c>
    </row>
    <row r="7" spans="1:4">
      <c r="A7" s="34" t="s">
        <v>360</v>
      </c>
      <c r="B7" s="34" t="s">
        <v>361</v>
      </c>
      <c r="C7" s="34" t="s">
        <v>362</v>
      </c>
      <c r="D7" s="34" t="s">
        <v>363</v>
      </c>
    </row>
    <row r="8" spans="1:4">
      <c r="A8" s="34" t="s">
        <v>364</v>
      </c>
      <c r="B8" s="34" t="s">
        <v>365</v>
      </c>
      <c r="C8" s="34" t="s">
        <v>366</v>
      </c>
      <c r="D8" s="34" t="s">
        <v>367</v>
      </c>
    </row>
    <row r="9" spans="1:4">
      <c r="A9" s="34"/>
      <c r="B9" s="34" t="s">
        <v>368</v>
      </c>
      <c r="C9" s="34"/>
      <c r="D9" s="34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0066-E517-4B77-BC31-E0D3C478D727}">
  <dimension ref="A1:I18"/>
  <sheetViews>
    <sheetView workbookViewId="0">
      <selection activeCell="L10" sqref="L10"/>
    </sheetView>
  </sheetViews>
  <sheetFormatPr defaultRowHeight="14.4"/>
  <sheetData>
    <row r="1" spans="1:9">
      <c r="A1" s="150" t="s">
        <v>369</v>
      </c>
      <c r="B1" s="150" t="s">
        <v>21</v>
      </c>
      <c r="C1" s="150" t="s">
        <v>370</v>
      </c>
      <c r="E1" s="165" t="s">
        <v>371</v>
      </c>
      <c r="F1" s="165"/>
      <c r="G1" s="165"/>
      <c r="H1" s="165"/>
      <c r="I1" s="165"/>
    </row>
    <row r="2" spans="1:9">
      <c r="A2" s="34"/>
      <c r="B2" s="34"/>
      <c r="C2" s="34"/>
      <c r="E2" s="165"/>
      <c r="F2" s="165"/>
      <c r="G2" s="165"/>
      <c r="H2" s="165"/>
      <c r="I2" s="165"/>
    </row>
    <row r="3" spans="1:9">
      <c r="A3" s="34"/>
      <c r="B3" s="34"/>
      <c r="C3" s="34"/>
      <c r="E3" s="165"/>
      <c r="F3" s="165"/>
      <c r="G3" s="165"/>
      <c r="H3" s="165"/>
      <c r="I3" s="165"/>
    </row>
    <row r="4" spans="1:9">
      <c r="A4" s="34"/>
      <c r="B4" s="34"/>
      <c r="C4" s="34"/>
    </row>
    <row r="5" spans="1:9">
      <c r="A5" s="34"/>
      <c r="B5" s="34"/>
      <c r="C5" s="34"/>
    </row>
    <row r="6" spans="1:9">
      <c r="A6" s="34"/>
      <c r="B6" s="34"/>
      <c r="C6" s="34"/>
    </row>
    <row r="7" spans="1:9">
      <c r="A7" s="34"/>
      <c r="B7" s="34"/>
      <c r="C7" s="34"/>
    </row>
    <row r="8" spans="1:9">
      <c r="A8" s="34"/>
      <c r="B8" s="34"/>
      <c r="C8" s="34"/>
    </row>
    <row r="9" spans="1:9">
      <c r="A9" s="34"/>
      <c r="B9" s="34"/>
      <c r="C9" s="34"/>
    </row>
    <row r="10" spans="1:9">
      <c r="A10" s="34"/>
      <c r="B10" s="34"/>
      <c r="C10" s="34"/>
    </row>
    <row r="11" spans="1:9">
      <c r="A11" s="34"/>
      <c r="B11" s="34"/>
      <c r="C11" s="34"/>
    </row>
    <row r="12" spans="1:9">
      <c r="A12" s="34"/>
      <c r="B12" s="34"/>
      <c r="C12" s="34"/>
    </row>
    <row r="13" spans="1:9">
      <c r="A13" s="34"/>
      <c r="B13" s="34"/>
      <c r="C13" s="34"/>
    </row>
    <row r="14" spans="1:9">
      <c r="A14" s="34"/>
      <c r="B14" s="34"/>
      <c r="C14" s="34"/>
    </row>
    <row r="15" spans="1:9">
      <c r="A15" s="34"/>
      <c r="B15" s="34"/>
      <c r="C15" s="34"/>
    </row>
    <row r="16" spans="1:9">
      <c r="A16" s="34"/>
      <c r="B16" s="34"/>
      <c r="C16" s="34"/>
    </row>
    <row r="17" spans="1:3">
      <c r="A17" s="34"/>
      <c r="B17" s="34"/>
      <c r="C17" s="34"/>
    </row>
    <row r="18" spans="1:3">
      <c r="A18" s="34"/>
      <c r="B18" s="34"/>
      <c r="C18" s="34"/>
    </row>
  </sheetData>
  <mergeCells count="1">
    <mergeCell ref="E1:I3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2B74-1E64-4C3F-8F10-36311EC52F2E}">
  <dimension ref="A1:E6"/>
  <sheetViews>
    <sheetView workbookViewId="0">
      <selection sqref="A1:E6"/>
    </sheetView>
  </sheetViews>
  <sheetFormatPr defaultRowHeight="14.4"/>
  <sheetData>
    <row r="1" spans="1:5">
      <c r="A1" s="86" t="s">
        <v>277</v>
      </c>
      <c r="B1" s="86" t="s">
        <v>278</v>
      </c>
      <c r="C1" s="86" t="s">
        <v>279</v>
      </c>
      <c r="D1" s="86" t="s">
        <v>280</v>
      </c>
      <c r="E1" s="96" t="s">
        <v>281</v>
      </c>
    </row>
    <row r="2" spans="1:5">
      <c r="A2" s="117">
        <v>100</v>
      </c>
      <c r="B2" s="117" t="s">
        <v>282</v>
      </c>
      <c r="C2" s="117" t="s">
        <v>283</v>
      </c>
      <c r="D2" s="117" t="s">
        <v>284</v>
      </c>
      <c r="E2" s="116">
        <v>1200</v>
      </c>
    </row>
    <row r="3" spans="1:5">
      <c r="A3" s="117">
        <v>200</v>
      </c>
      <c r="B3" s="117" t="s">
        <v>285</v>
      </c>
      <c r="C3" s="117" t="s">
        <v>286</v>
      </c>
      <c r="D3" s="117" t="s">
        <v>284</v>
      </c>
      <c r="E3" s="116">
        <v>120</v>
      </c>
    </row>
    <row r="4" spans="1:5">
      <c r="A4" s="117">
        <v>300</v>
      </c>
      <c r="B4" s="117" t="s">
        <v>287</v>
      </c>
      <c r="C4" s="117" t="s">
        <v>288</v>
      </c>
      <c r="D4" s="117" t="s">
        <v>284</v>
      </c>
      <c r="E4" s="116">
        <v>350</v>
      </c>
    </row>
    <row r="5" spans="1:5">
      <c r="A5" s="117">
        <v>400</v>
      </c>
      <c r="B5" s="117" t="s">
        <v>289</v>
      </c>
      <c r="C5" s="117" t="s">
        <v>290</v>
      </c>
      <c r="D5" s="117" t="s">
        <v>284</v>
      </c>
      <c r="E5" s="116">
        <v>500</v>
      </c>
    </row>
    <row r="6" spans="1:5">
      <c r="A6" s="117">
        <v>500</v>
      </c>
      <c r="B6" s="117" t="s">
        <v>291</v>
      </c>
      <c r="C6" s="117" t="s">
        <v>292</v>
      </c>
      <c r="D6" s="117" t="s">
        <v>284</v>
      </c>
      <c r="E6" s="116">
        <v>400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7A0-B1B0-4FC1-8031-DD955CD87A3D}">
  <dimension ref="A1:H24"/>
  <sheetViews>
    <sheetView workbookViewId="0">
      <selection activeCell="C22" sqref="C22"/>
    </sheetView>
  </sheetViews>
  <sheetFormatPr defaultRowHeight="14.4"/>
  <cols>
    <col min="1" max="1" width="1.44140625" customWidth="1"/>
    <col min="2" max="2" width="27.109375" customWidth="1"/>
    <col min="3" max="3" width="19" bestFit="1" customWidth="1"/>
    <col min="4" max="4" width="14" bestFit="1" customWidth="1"/>
    <col min="5" max="5" width="9.44140625" bestFit="1" customWidth="1"/>
    <col min="6" max="6" width="8.44140625" bestFit="1" customWidth="1"/>
    <col min="7" max="7" width="9.44140625" bestFit="1" customWidth="1"/>
    <col min="8" max="8" width="1.88671875" customWidth="1"/>
  </cols>
  <sheetData>
    <row r="1" spans="1:8">
      <c r="A1" s="115"/>
      <c r="B1" s="113"/>
      <c r="C1" s="113"/>
      <c r="D1" s="113"/>
      <c r="E1" s="114"/>
      <c r="F1" s="114"/>
      <c r="G1" s="113"/>
      <c r="H1" s="112"/>
    </row>
    <row r="2" spans="1:8" ht="23.4" thickBot="1">
      <c r="A2" s="87"/>
      <c r="B2" s="166" t="s">
        <v>293</v>
      </c>
      <c r="C2" s="166"/>
      <c r="D2" s="166"/>
      <c r="E2" s="166"/>
      <c r="F2" s="166"/>
      <c r="G2" s="166"/>
      <c r="H2" s="82"/>
    </row>
    <row r="3" spans="1:8" ht="15" thickBot="1">
      <c r="A3" s="87"/>
      <c r="B3" s="111" t="s">
        <v>24</v>
      </c>
      <c r="C3" s="110">
        <v>1</v>
      </c>
      <c r="D3" s="106" t="s">
        <v>294</v>
      </c>
      <c r="E3" s="106" t="s">
        <v>295</v>
      </c>
      <c r="F3" s="167" t="s">
        <v>296</v>
      </c>
      <c r="G3" s="167"/>
      <c r="H3" s="82"/>
    </row>
    <row r="4" spans="1:8">
      <c r="A4" s="87"/>
      <c r="B4" s="109" t="s">
        <v>297</v>
      </c>
      <c r="C4" s="130"/>
      <c r="D4" s="108"/>
      <c r="E4" s="107"/>
      <c r="F4" s="168"/>
      <c r="G4" s="168"/>
      <c r="H4" s="82"/>
    </row>
    <row r="5" spans="1:8">
      <c r="A5" s="87"/>
      <c r="B5" s="105" t="s">
        <v>298</v>
      </c>
      <c r="C5" s="131"/>
      <c r="D5" s="106" t="s">
        <v>299</v>
      </c>
      <c r="E5" s="106" t="s">
        <v>300</v>
      </c>
      <c r="F5" s="169" t="s">
        <v>301</v>
      </c>
      <c r="G5" s="169"/>
      <c r="H5" s="82"/>
    </row>
    <row r="6" spans="1:8">
      <c r="A6" s="87"/>
      <c r="B6" s="105" t="s">
        <v>302</v>
      </c>
      <c r="C6" s="104"/>
      <c r="D6" s="103"/>
      <c r="E6" s="102"/>
      <c r="F6" s="170"/>
      <c r="G6" s="170"/>
      <c r="H6" s="82"/>
    </row>
    <row r="7" spans="1:8">
      <c r="A7" s="87"/>
      <c r="B7" s="86"/>
      <c r="C7" s="86"/>
      <c r="D7" s="86"/>
      <c r="E7" s="96"/>
      <c r="F7" s="96"/>
      <c r="G7" s="86"/>
      <c r="H7" s="82"/>
    </row>
    <row r="8" spans="1:8">
      <c r="A8" s="87"/>
      <c r="B8" s="101" t="s">
        <v>33</v>
      </c>
      <c r="C8" s="100" t="s">
        <v>278</v>
      </c>
      <c r="D8" s="100" t="s">
        <v>279</v>
      </c>
      <c r="E8" s="100" t="s">
        <v>303</v>
      </c>
      <c r="F8" s="100" t="s">
        <v>281</v>
      </c>
      <c r="G8" s="100" t="s">
        <v>304</v>
      </c>
      <c r="H8" s="82"/>
    </row>
    <row r="9" spans="1:8">
      <c r="A9" s="87"/>
      <c r="B9" s="99">
        <v>100</v>
      </c>
      <c r="C9" s="130" t="s">
        <v>282</v>
      </c>
      <c r="D9" s="92"/>
      <c r="E9" s="98"/>
      <c r="F9" s="97"/>
      <c r="G9" s="95"/>
      <c r="H9" s="82"/>
    </row>
    <row r="10" spans="1:8">
      <c r="A10" s="87"/>
      <c r="B10" s="99"/>
      <c r="C10" s="92"/>
      <c r="D10" s="92"/>
      <c r="E10" s="98"/>
      <c r="F10" s="97"/>
      <c r="G10" s="95"/>
      <c r="H10" s="82"/>
    </row>
    <row r="11" spans="1:8">
      <c r="A11" s="87"/>
      <c r="B11" s="99"/>
      <c r="C11" s="92"/>
      <c r="D11" s="92"/>
      <c r="E11" s="98"/>
      <c r="F11" s="97"/>
      <c r="G11" s="95"/>
      <c r="H11" s="82"/>
    </row>
    <row r="12" spans="1:8">
      <c r="A12" s="87"/>
      <c r="B12" s="99"/>
      <c r="C12" s="92" t="s">
        <v>305</v>
      </c>
      <c r="D12" s="92"/>
      <c r="E12" s="98"/>
      <c r="F12" s="97"/>
      <c r="G12" s="95"/>
      <c r="H12" s="82"/>
    </row>
    <row r="13" spans="1:8">
      <c r="A13" s="87"/>
      <c r="B13" s="99"/>
      <c r="C13" s="92" t="s">
        <v>305</v>
      </c>
      <c r="D13" s="92"/>
      <c r="E13" s="98"/>
      <c r="F13" s="97"/>
      <c r="G13" s="95"/>
      <c r="H13" s="82"/>
    </row>
    <row r="14" spans="1:8">
      <c r="A14" s="87"/>
      <c r="B14" s="99"/>
      <c r="C14" s="92" t="s">
        <v>305</v>
      </c>
      <c r="D14" s="92"/>
      <c r="E14" s="98"/>
      <c r="F14" s="97"/>
      <c r="G14" s="95"/>
      <c r="H14" s="82"/>
    </row>
    <row r="15" spans="1:8">
      <c r="A15" s="87"/>
      <c r="B15" s="99"/>
      <c r="C15" s="92" t="s">
        <v>305</v>
      </c>
      <c r="D15" s="92"/>
      <c r="E15" s="98"/>
      <c r="F15" s="97"/>
      <c r="G15" s="95"/>
      <c r="H15" s="82"/>
    </row>
    <row r="16" spans="1:8">
      <c r="A16" s="87"/>
      <c r="B16" s="99"/>
      <c r="C16" s="92" t="s">
        <v>305</v>
      </c>
      <c r="D16" s="92"/>
      <c r="E16" s="98"/>
      <c r="F16" s="97"/>
      <c r="G16" s="95"/>
      <c r="H16" s="82"/>
    </row>
    <row r="17" spans="1:8">
      <c r="A17" s="87"/>
      <c r="B17" s="86"/>
      <c r="C17" s="86"/>
      <c r="D17" s="86"/>
      <c r="E17" s="96"/>
      <c r="F17" s="96"/>
      <c r="G17" s="86"/>
      <c r="H17" s="82"/>
    </row>
    <row r="18" spans="1:8">
      <c r="A18" s="87"/>
      <c r="B18" s="86"/>
      <c r="C18" s="86"/>
      <c r="D18" s="86"/>
      <c r="E18" s="94" t="s">
        <v>306</v>
      </c>
      <c r="F18" s="93"/>
      <c r="G18" s="95">
        <v>0</v>
      </c>
      <c r="H18" s="82"/>
    </row>
    <row r="19" spans="1:8">
      <c r="A19" s="87"/>
      <c r="B19" s="86"/>
      <c r="C19" s="86"/>
      <c r="D19" s="86"/>
      <c r="E19" s="91"/>
      <c r="F19" s="90"/>
      <c r="G19" s="89"/>
      <c r="H19" s="82"/>
    </row>
    <row r="20" spans="1:8">
      <c r="A20" s="87"/>
      <c r="B20" s="86"/>
      <c r="C20" s="86"/>
      <c r="D20" s="86"/>
      <c r="E20" s="94" t="s">
        <v>307</v>
      </c>
      <c r="F20" s="93">
        <v>0.05</v>
      </c>
      <c r="G20" s="92"/>
      <c r="H20" s="82"/>
    </row>
    <row r="21" spans="1:8">
      <c r="A21" s="87"/>
      <c r="B21" s="86"/>
      <c r="C21" s="86"/>
      <c r="D21" s="86"/>
      <c r="E21" s="94" t="s">
        <v>308</v>
      </c>
      <c r="F21" s="93">
        <v>1.2E-2</v>
      </c>
      <c r="G21" s="92"/>
      <c r="H21" s="82"/>
    </row>
    <row r="22" spans="1:8" ht="15" thickBot="1">
      <c r="A22" s="87"/>
      <c r="B22" s="86"/>
      <c r="C22" s="86"/>
      <c r="D22" s="86"/>
      <c r="E22" s="91"/>
      <c r="F22" s="90"/>
      <c r="G22" s="89"/>
      <c r="H22" s="88"/>
    </row>
    <row r="23" spans="1:8" ht="15" thickBot="1">
      <c r="A23" s="87"/>
      <c r="B23" s="86"/>
      <c r="C23" s="86"/>
      <c r="D23" s="86"/>
      <c r="E23" s="85" t="s">
        <v>309</v>
      </c>
      <c r="F23" s="84"/>
      <c r="G23" s="83"/>
      <c r="H23" s="82"/>
    </row>
    <row r="24" spans="1:8" ht="15" thickBot="1">
      <c r="A24" s="81"/>
      <c r="B24" s="79"/>
      <c r="C24" s="79"/>
      <c r="D24" s="79"/>
      <c r="E24" s="80"/>
      <c r="F24" s="80"/>
      <c r="G24" s="79"/>
      <c r="H24" s="78"/>
    </row>
  </sheetData>
  <mergeCells count="5">
    <mergeCell ref="B2:G2"/>
    <mergeCell ref="F3:G3"/>
    <mergeCell ref="F4:G4"/>
    <mergeCell ref="F5:G5"/>
    <mergeCell ref="F6:G6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EFA0A-1EA6-4EA3-887B-186F4A82F5F1}">
  <dimension ref="A1:C25"/>
  <sheetViews>
    <sheetView workbookViewId="0">
      <selection sqref="A1:C25"/>
    </sheetView>
  </sheetViews>
  <sheetFormatPr defaultRowHeight="14.4"/>
  <sheetData>
    <row r="1" spans="1:3" ht="15.6">
      <c r="A1" s="132" t="s">
        <v>310</v>
      </c>
      <c r="B1" s="133">
        <f>SUM(C6:C25)</f>
        <v>228300</v>
      </c>
      <c r="C1" s="133">
        <f>SUBTOTAL(9,C6:C25)</f>
        <v>228300</v>
      </c>
    </row>
    <row r="2" spans="1:3" ht="15.6">
      <c r="A2" s="132" t="s">
        <v>311</v>
      </c>
      <c r="B2" s="133">
        <f>AVERAGE(C6:C25)</f>
        <v>11415</v>
      </c>
      <c r="C2" s="133">
        <f>SUBTOTAL(1,C6:C25)</f>
        <v>11415</v>
      </c>
    </row>
    <row r="3" spans="1:3" ht="15.6">
      <c r="A3" s="132" t="s">
        <v>312</v>
      </c>
      <c r="B3" s="134">
        <f>COUNTA(C6:C25)</f>
        <v>20</v>
      </c>
      <c r="C3" s="134">
        <f>SUBTOTAL(3,C6:C25)</f>
        <v>20</v>
      </c>
    </row>
    <row r="4" spans="1:3">
      <c r="B4" s="135"/>
      <c r="C4" s="135"/>
    </row>
    <row r="5" spans="1:3" ht="15.6">
      <c r="A5" s="136" t="s">
        <v>313</v>
      </c>
      <c r="B5" s="137" t="s">
        <v>300</v>
      </c>
      <c r="C5" s="137" t="s">
        <v>314</v>
      </c>
    </row>
    <row r="6" spans="1:3">
      <c r="A6" s="138" t="s">
        <v>315</v>
      </c>
      <c r="B6" s="134" t="s">
        <v>152</v>
      </c>
      <c r="C6" s="133">
        <v>15000</v>
      </c>
    </row>
    <row r="7" spans="1:3">
      <c r="A7" s="138" t="s">
        <v>316</v>
      </c>
      <c r="B7" s="134" t="s">
        <v>162</v>
      </c>
      <c r="C7" s="133">
        <v>12600</v>
      </c>
    </row>
    <row r="8" spans="1:3">
      <c r="A8" s="138" t="s">
        <v>315</v>
      </c>
      <c r="B8" s="134" t="s">
        <v>317</v>
      </c>
      <c r="C8" s="133">
        <v>13600</v>
      </c>
    </row>
    <row r="9" spans="1:3">
      <c r="A9" s="138" t="s">
        <v>315</v>
      </c>
      <c r="B9" s="134" t="s">
        <v>318</v>
      </c>
      <c r="C9" s="133">
        <v>12400</v>
      </c>
    </row>
    <row r="10" spans="1:3">
      <c r="A10" s="138" t="s">
        <v>316</v>
      </c>
      <c r="B10" s="134" t="s">
        <v>152</v>
      </c>
      <c r="C10" s="133">
        <v>8900</v>
      </c>
    </row>
    <row r="11" spans="1:3">
      <c r="A11" s="138" t="s">
        <v>315</v>
      </c>
      <c r="B11" s="134" t="s">
        <v>319</v>
      </c>
      <c r="C11" s="133">
        <v>15800</v>
      </c>
    </row>
    <row r="12" spans="1:3">
      <c r="A12" s="138" t="s">
        <v>316</v>
      </c>
      <c r="B12" s="134" t="s">
        <v>320</v>
      </c>
      <c r="C12" s="133">
        <v>6500</v>
      </c>
    </row>
    <row r="13" spans="1:3">
      <c r="A13" s="138" t="s">
        <v>315</v>
      </c>
      <c r="B13" s="134" t="s">
        <v>320</v>
      </c>
      <c r="C13" s="133">
        <v>6400</v>
      </c>
    </row>
    <row r="14" spans="1:3">
      <c r="A14" s="138" t="s">
        <v>315</v>
      </c>
      <c r="B14" s="134" t="s">
        <v>152</v>
      </c>
      <c r="C14" s="133">
        <v>9300</v>
      </c>
    </row>
    <row r="15" spans="1:3">
      <c r="A15" s="138" t="s">
        <v>316</v>
      </c>
      <c r="B15" s="134" t="s">
        <v>162</v>
      </c>
      <c r="C15" s="133">
        <v>10200</v>
      </c>
    </row>
    <row r="16" spans="1:3">
      <c r="A16" s="138" t="s">
        <v>316</v>
      </c>
      <c r="B16" s="134" t="s">
        <v>318</v>
      </c>
      <c r="C16" s="133">
        <v>16500</v>
      </c>
    </row>
    <row r="17" spans="1:3">
      <c r="A17" s="138" t="s">
        <v>316</v>
      </c>
      <c r="B17" s="134" t="s">
        <v>320</v>
      </c>
      <c r="C17" s="133">
        <v>19400</v>
      </c>
    </row>
    <row r="18" spans="1:3">
      <c r="A18" s="138" t="s">
        <v>316</v>
      </c>
      <c r="B18" s="134" t="s">
        <v>320</v>
      </c>
      <c r="C18" s="133">
        <v>5600</v>
      </c>
    </row>
    <row r="19" spans="1:3">
      <c r="A19" s="138" t="s">
        <v>316</v>
      </c>
      <c r="B19" s="134" t="s">
        <v>317</v>
      </c>
      <c r="C19" s="133">
        <v>14300</v>
      </c>
    </row>
    <row r="20" spans="1:3">
      <c r="A20" s="138" t="s">
        <v>315</v>
      </c>
      <c r="B20" s="134" t="s">
        <v>318</v>
      </c>
      <c r="C20" s="133">
        <v>11000</v>
      </c>
    </row>
    <row r="21" spans="1:3">
      <c r="A21" s="138" t="s">
        <v>316</v>
      </c>
      <c r="B21" s="134" t="s">
        <v>162</v>
      </c>
      <c r="C21" s="133">
        <v>6500</v>
      </c>
    </row>
    <row r="22" spans="1:3">
      <c r="A22" s="138" t="s">
        <v>316</v>
      </c>
      <c r="B22" s="134" t="s">
        <v>162</v>
      </c>
      <c r="C22" s="133">
        <v>9800</v>
      </c>
    </row>
    <row r="23" spans="1:3">
      <c r="A23" s="138" t="s">
        <v>315</v>
      </c>
      <c r="B23" s="134" t="s">
        <v>319</v>
      </c>
      <c r="C23" s="133">
        <v>12900</v>
      </c>
    </row>
    <row r="24" spans="1:3">
      <c r="A24" s="138" t="s">
        <v>315</v>
      </c>
      <c r="B24" s="134" t="s">
        <v>319</v>
      </c>
      <c r="C24" s="133">
        <v>7900</v>
      </c>
    </row>
    <row r="25" spans="1:3">
      <c r="A25" s="138" t="s">
        <v>316</v>
      </c>
      <c r="B25" s="134" t="s">
        <v>152</v>
      </c>
      <c r="C25" s="133">
        <v>13700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8EBFE-74D5-4C6B-B2C3-34644891FCAB}">
  <dimension ref="A1:C25"/>
  <sheetViews>
    <sheetView workbookViewId="0">
      <selection sqref="A1:C25"/>
    </sheetView>
  </sheetViews>
  <sheetFormatPr defaultRowHeight="14.4"/>
  <sheetData>
    <row r="1" spans="1:3" ht="15.6">
      <c r="A1" s="132" t="s">
        <v>310</v>
      </c>
      <c r="B1" s="133">
        <f>SUM(C6:C25)</f>
        <v>228300</v>
      </c>
      <c r="C1" s="133">
        <f>SUBTOTAL(109,C6:C25)</f>
        <v>228300</v>
      </c>
    </row>
    <row r="2" spans="1:3" ht="15.6">
      <c r="A2" s="132" t="s">
        <v>311</v>
      </c>
      <c r="B2" s="133">
        <f>AVERAGE(C6:C25)</f>
        <v>11415</v>
      </c>
      <c r="C2" s="133">
        <f>SUBTOTAL(101,C6:C25)</f>
        <v>11415</v>
      </c>
    </row>
    <row r="3" spans="1:3" ht="15.6">
      <c r="A3" s="132" t="s">
        <v>312</v>
      </c>
      <c r="B3" s="134">
        <f>COUNTA(C6:C25)</f>
        <v>20</v>
      </c>
      <c r="C3" s="134">
        <f>SUBTOTAL(103,C6:C25)</f>
        <v>20</v>
      </c>
    </row>
    <row r="4" spans="1:3">
      <c r="B4" s="135"/>
      <c r="C4" s="135"/>
    </row>
    <row r="5" spans="1:3" ht="15.6">
      <c r="A5" s="136" t="s">
        <v>313</v>
      </c>
      <c r="B5" s="137" t="s">
        <v>300</v>
      </c>
      <c r="C5" s="137" t="s">
        <v>314</v>
      </c>
    </row>
    <row r="6" spans="1:3">
      <c r="A6" s="138" t="s">
        <v>315</v>
      </c>
      <c r="B6" s="134" t="s">
        <v>152</v>
      </c>
      <c r="C6" s="133">
        <v>15000</v>
      </c>
    </row>
    <row r="7" spans="1:3">
      <c r="A7" s="138" t="s">
        <v>316</v>
      </c>
      <c r="B7" s="134" t="s">
        <v>162</v>
      </c>
      <c r="C7" s="133">
        <v>12600</v>
      </c>
    </row>
    <row r="8" spans="1:3">
      <c r="A8" s="138" t="s">
        <v>315</v>
      </c>
      <c r="B8" s="134" t="s">
        <v>317</v>
      </c>
      <c r="C8" s="133">
        <v>13600</v>
      </c>
    </row>
    <row r="9" spans="1:3">
      <c r="A9" s="138" t="s">
        <v>315</v>
      </c>
      <c r="B9" s="134" t="s">
        <v>318</v>
      </c>
      <c r="C9" s="133">
        <v>12400</v>
      </c>
    </row>
    <row r="10" spans="1:3">
      <c r="A10" s="138" t="s">
        <v>316</v>
      </c>
      <c r="B10" s="134" t="s">
        <v>152</v>
      </c>
      <c r="C10" s="133">
        <v>8900</v>
      </c>
    </row>
    <row r="11" spans="1:3">
      <c r="A11" s="138" t="s">
        <v>315</v>
      </c>
      <c r="B11" s="134" t="s">
        <v>319</v>
      </c>
      <c r="C11" s="133">
        <v>15800</v>
      </c>
    </row>
    <row r="12" spans="1:3">
      <c r="A12" s="138" t="s">
        <v>316</v>
      </c>
      <c r="B12" s="134" t="s">
        <v>320</v>
      </c>
      <c r="C12" s="133">
        <v>6500</v>
      </c>
    </row>
    <row r="13" spans="1:3">
      <c r="A13" s="138" t="s">
        <v>315</v>
      </c>
      <c r="B13" s="134" t="s">
        <v>320</v>
      </c>
      <c r="C13" s="133">
        <v>6400</v>
      </c>
    </row>
    <row r="14" spans="1:3">
      <c r="A14" s="138" t="s">
        <v>315</v>
      </c>
      <c r="B14" s="134" t="s">
        <v>152</v>
      </c>
      <c r="C14" s="133">
        <v>9300</v>
      </c>
    </row>
    <row r="15" spans="1:3">
      <c r="A15" s="138" t="s">
        <v>316</v>
      </c>
      <c r="B15" s="134" t="s">
        <v>162</v>
      </c>
      <c r="C15" s="133">
        <v>10200</v>
      </c>
    </row>
    <row r="16" spans="1:3">
      <c r="A16" s="138" t="s">
        <v>316</v>
      </c>
      <c r="B16" s="134" t="s">
        <v>318</v>
      </c>
      <c r="C16" s="133">
        <v>16500</v>
      </c>
    </row>
    <row r="17" spans="1:3">
      <c r="A17" s="138" t="s">
        <v>316</v>
      </c>
      <c r="B17" s="134" t="s">
        <v>320</v>
      </c>
      <c r="C17" s="133">
        <v>19400</v>
      </c>
    </row>
    <row r="18" spans="1:3">
      <c r="A18" s="138" t="s">
        <v>316</v>
      </c>
      <c r="B18" s="134" t="s">
        <v>320</v>
      </c>
      <c r="C18" s="133">
        <v>5600</v>
      </c>
    </row>
    <row r="19" spans="1:3">
      <c r="A19" s="138" t="s">
        <v>316</v>
      </c>
      <c r="B19" s="134" t="s">
        <v>317</v>
      </c>
      <c r="C19" s="133">
        <v>14300</v>
      </c>
    </row>
    <row r="20" spans="1:3">
      <c r="A20" s="138" t="s">
        <v>315</v>
      </c>
      <c r="B20" s="134" t="s">
        <v>318</v>
      </c>
      <c r="C20" s="133">
        <v>11000</v>
      </c>
    </row>
    <row r="21" spans="1:3">
      <c r="A21" s="138" t="s">
        <v>316</v>
      </c>
      <c r="B21" s="134" t="s">
        <v>162</v>
      </c>
      <c r="C21" s="133">
        <v>6500</v>
      </c>
    </row>
    <row r="22" spans="1:3">
      <c r="A22" s="138" t="s">
        <v>316</v>
      </c>
      <c r="B22" s="134" t="s">
        <v>162</v>
      </c>
      <c r="C22" s="133">
        <v>9800</v>
      </c>
    </row>
    <row r="23" spans="1:3">
      <c r="A23" s="138" t="s">
        <v>315</v>
      </c>
      <c r="B23" s="134" t="s">
        <v>319</v>
      </c>
      <c r="C23" s="133">
        <v>12900</v>
      </c>
    </row>
    <row r="24" spans="1:3">
      <c r="A24" s="138" t="s">
        <v>315</v>
      </c>
      <c r="B24" s="134" t="s">
        <v>319</v>
      </c>
      <c r="C24" s="133">
        <v>7900</v>
      </c>
    </row>
    <row r="25" spans="1:3">
      <c r="A25" s="138" t="s">
        <v>316</v>
      </c>
      <c r="B25" s="134" t="s">
        <v>152</v>
      </c>
      <c r="C25" s="133">
        <v>13700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FDB4-15DC-4C3D-8D00-BEF97BDD40F4}">
  <dimension ref="A7:K23"/>
  <sheetViews>
    <sheetView topLeftCell="D11" zoomScale="235" zoomScaleNormal="235" workbookViewId="0">
      <selection activeCell="I18" sqref="I18"/>
    </sheetView>
  </sheetViews>
  <sheetFormatPr defaultRowHeight="14.4"/>
  <cols>
    <col min="3" max="3" width="11.21875" bestFit="1" customWidth="1"/>
    <col min="4" max="4" width="16.5546875" bestFit="1" customWidth="1"/>
    <col min="5" max="5" width="18.109375" bestFit="1" customWidth="1"/>
    <col min="6" max="6" width="1.77734375" customWidth="1"/>
    <col min="7" max="7" width="4.21875" customWidth="1"/>
    <col min="8" max="8" width="17.5546875" bestFit="1" customWidth="1"/>
    <col min="9" max="9" width="10.33203125" customWidth="1"/>
  </cols>
  <sheetData>
    <row r="7" spans="1:11" ht="15" thickBot="1"/>
    <row r="8" spans="1:11" ht="18.600000000000001" thickBot="1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H8" s="10" t="s">
        <v>0</v>
      </c>
      <c r="I8" s="11">
        <v>237</v>
      </c>
      <c r="J8" s="4"/>
    </row>
    <row r="9" spans="1:11" ht="18">
      <c r="A9" s="2">
        <v>159</v>
      </c>
      <c r="B9" s="2" t="s">
        <v>5</v>
      </c>
      <c r="C9" s="2" t="str">
        <f ca="1">"Analista " &amp; RANDBETWEEN(1,3)</f>
        <v>Analista 2</v>
      </c>
      <c r="D9" s="3">
        <f ca="1">RANDBETWEEN(3000,4000)</f>
        <v>3159</v>
      </c>
      <c r="E9" s="2" t="str">
        <f ca="1">"DP" &amp; RANDBETWEEN(1,5)</f>
        <v>DP3</v>
      </c>
      <c r="H9" s="12" t="s">
        <v>1</v>
      </c>
      <c r="I9" s="13" t="str">
        <f>VLOOKUP(I8,A8:E23,2,0)</f>
        <v>Cristina</v>
      </c>
      <c r="J9" s="4"/>
    </row>
    <row r="10" spans="1:11" ht="18">
      <c r="A10" s="4">
        <v>111</v>
      </c>
      <c r="B10" s="4" t="s">
        <v>6</v>
      </c>
      <c r="C10" s="4" t="str">
        <f t="shared" ref="C10:C23" ca="1" si="0">"Analista " &amp; RANDBETWEEN(1,3)</f>
        <v>Analista 3</v>
      </c>
      <c r="D10" s="5">
        <f t="shared" ref="D10:D23" ca="1" si="1">RANDBETWEEN(3000,4000)</f>
        <v>3284</v>
      </c>
      <c r="E10" s="4" t="str">
        <f t="shared" ref="E10:E23" ca="1" si="2">"DP" &amp; RANDBETWEEN(1,5)</f>
        <v>DP2</v>
      </c>
      <c r="H10" s="12" t="s">
        <v>2</v>
      </c>
      <c r="I10" s="13"/>
      <c r="J10" s="4"/>
    </row>
    <row r="11" spans="1:11" ht="18">
      <c r="A11" s="6">
        <v>365</v>
      </c>
      <c r="B11" s="6" t="s">
        <v>7</v>
      </c>
      <c r="C11" s="6" t="str">
        <f t="shared" ca="1" si="0"/>
        <v>Analista 2</v>
      </c>
      <c r="D11" s="7">
        <f t="shared" ca="1" si="1"/>
        <v>3466</v>
      </c>
      <c r="E11" s="6" t="str">
        <f t="shared" ca="1" si="2"/>
        <v>DP5</v>
      </c>
      <c r="H11" s="12" t="s">
        <v>3</v>
      </c>
      <c r="I11" s="14"/>
      <c r="J11" s="4"/>
    </row>
    <row r="12" spans="1:11" ht="18.600000000000001" thickBot="1">
      <c r="A12" s="4">
        <v>117</v>
      </c>
      <c r="B12" s="4" t="s">
        <v>8</v>
      </c>
      <c r="C12" s="4" t="str">
        <f t="shared" ca="1" si="0"/>
        <v>Analista 2</v>
      </c>
      <c r="D12" s="5">
        <f t="shared" ca="1" si="1"/>
        <v>3942</v>
      </c>
      <c r="E12" s="4" t="str">
        <f t="shared" ca="1" si="2"/>
        <v>DP1</v>
      </c>
      <c r="H12" s="15" t="s">
        <v>4</v>
      </c>
      <c r="I12" s="16"/>
      <c r="J12" s="4"/>
    </row>
    <row r="13" spans="1:11" ht="18.600000000000001" thickBot="1">
      <c r="A13" s="6">
        <v>237</v>
      </c>
      <c r="B13" s="6" t="s">
        <v>9</v>
      </c>
      <c r="C13" s="6" t="str">
        <f t="shared" ca="1" si="0"/>
        <v>Analista 3</v>
      </c>
      <c r="D13" s="7">
        <f t="shared" ca="1" si="1"/>
        <v>3596</v>
      </c>
      <c r="E13" s="6" t="str">
        <f t="shared" ca="1" si="2"/>
        <v>DP1</v>
      </c>
      <c r="H13" s="4"/>
      <c r="I13" s="4"/>
      <c r="J13" s="4"/>
    </row>
    <row r="14" spans="1:11" ht="18">
      <c r="A14" s="4">
        <v>322</v>
      </c>
      <c r="B14" s="4" t="s">
        <v>10</v>
      </c>
      <c r="C14" s="4" t="str">
        <f t="shared" ca="1" si="0"/>
        <v>Analista 3</v>
      </c>
      <c r="D14" s="5">
        <f t="shared" ca="1" si="1"/>
        <v>3328</v>
      </c>
      <c r="E14" s="4" t="str">
        <f t="shared" ca="1" si="2"/>
        <v>DP1</v>
      </c>
      <c r="H14" s="10" t="s">
        <v>1</v>
      </c>
      <c r="I14" s="11" t="s">
        <v>6</v>
      </c>
      <c r="J14" s="4" t="s">
        <v>387</v>
      </c>
      <c r="K14" t="str">
        <f>INDEX(B9:B23,3)</f>
        <v>João</v>
      </c>
    </row>
    <row r="15" spans="1:11" ht="18.600000000000001" thickBot="1">
      <c r="A15" s="6">
        <v>293</v>
      </c>
      <c r="B15" s="6" t="s">
        <v>11</v>
      </c>
      <c r="C15" s="6" t="str">
        <f t="shared" ca="1" si="0"/>
        <v>Analista 3</v>
      </c>
      <c r="D15" s="7">
        <f t="shared" ca="1" si="1"/>
        <v>3240</v>
      </c>
      <c r="E15" s="6" t="str">
        <f t="shared" ca="1" si="2"/>
        <v>DP2</v>
      </c>
      <c r="H15" s="15" t="s">
        <v>0</v>
      </c>
      <c r="I15" s="16">
        <f>INDEX(A9:A23,MATCH(I14,B9:B23,0))</f>
        <v>111</v>
      </c>
      <c r="J15" s="4" t="s">
        <v>388</v>
      </c>
      <c r="K15">
        <f>MATCH(I14,B9:B23)</f>
        <v>15</v>
      </c>
    </row>
    <row r="16" spans="1:11" ht="18">
      <c r="A16" s="4">
        <v>118</v>
      </c>
      <c r="B16" s="4" t="s">
        <v>12</v>
      </c>
      <c r="C16" s="4" t="str">
        <f t="shared" ca="1" si="0"/>
        <v>Analista 3</v>
      </c>
      <c r="D16" s="5">
        <f t="shared" ca="1" si="1"/>
        <v>3040</v>
      </c>
      <c r="E16" s="4" t="str">
        <f t="shared" ca="1" si="2"/>
        <v>DP4</v>
      </c>
      <c r="H16" s="4" t="s">
        <v>2</v>
      </c>
      <c r="I16" t="str">
        <f ca="1">_xlfn.XLOOKUP(I14,B9:B23,C9:C23,"Não encontrado",0)</f>
        <v>Analista 3</v>
      </c>
    </row>
    <row r="17" spans="1:9" ht="18">
      <c r="A17" s="6">
        <v>355</v>
      </c>
      <c r="B17" s="6" t="s">
        <v>13</v>
      </c>
      <c r="C17" s="6" t="str">
        <f t="shared" ca="1" si="0"/>
        <v>Analista 3</v>
      </c>
      <c r="D17" s="7">
        <f t="shared" ca="1" si="1"/>
        <v>3463</v>
      </c>
      <c r="E17" s="6" t="str">
        <f t="shared" ca="1" si="2"/>
        <v>DP4</v>
      </c>
      <c r="H17" s="4" t="s">
        <v>389</v>
      </c>
      <c r="I17">
        <f>_xlfn.XLOOKUP(I14,B9:B23,A9:A23,"Não encontrado",0)</f>
        <v>111</v>
      </c>
    </row>
    <row r="18" spans="1:9" ht="18">
      <c r="A18" s="4">
        <v>287</v>
      </c>
      <c r="B18" s="4" t="s">
        <v>14</v>
      </c>
      <c r="C18" s="4" t="str">
        <f t="shared" ca="1" si="0"/>
        <v>Analista 3</v>
      </c>
      <c r="D18" s="5">
        <f t="shared" ca="1" si="1"/>
        <v>3030</v>
      </c>
      <c r="E18" s="4" t="str">
        <f t="shared" ca="1" si="2"/>
        <v>DP4</v>
      </c>
    </row>
    <row r="19" spans="1:9" ht="18">
      <c r="A19" s="6">
        <v>381</v>
      </c>
      <c r="B19" s="6" t="s">
        <v>15</v>
      </c>
      <c r="C19" s="6" t="str">
        <f t="shared" ca="1" si="0"/>
        <v>Analista 1</v>
      </c>
      <c r="D19" s="7">
        <f t="shared" ca="1" si="1"/>
        <v>3685</v>
      </c>
      <c r="E19" s="6" t="str">
        <f t="shared" ca="1" si="2"/>
        <v>DP4</v>
      </c>
    </row>
    <row r="20" spans="1:9" ht="18">
      <c r="A20" s="4">
        <v>247</v>
      </c>
      <c r="B20" s="4" t="s">
        <v>16</v>
      </c>
      <c r="C20" s="4" t="str">
        <f t="shared" ca="1" si="0"/>
        <v>Analista 1</v>
      </c>
      <c r="D20" s="5">
        <f t="shared" ca="1" si="1"/>
        <v>3705</v>
      </c>
      <c r="E20" s="4" t="str">
        <f t="shared" ca="1" si="2"/>
        <v>DP3</v>
      </c>
    </row>
    <row r="21" spans="1:9" ht="18">
      <c r="A21" s="6">
        <v>324</v>
      </c>
      <c r="B21" s="6" t="s">
        <v>17</v>
      </c>
      <c r="C21" s="6" t="str">
        <f t="shared" ca="1" si="0"/>
        <v>Analista 1</v>
      </c>
      <c r="D21" s="7">
        <f t="shared" ca="1" si="1"/>
        <v>3725</v>
      </c>
      <c r="E21" s="6" t="str">
        <f t="shared" ca="1" si="2"/>
        <v>DP3</v>
      </c>
    </row>
    <row r="22" spans="1:9" ht="18">
      <c r="A22" s="4">
        <v>159</v>
      </c>
      <c r="B22" s="4" t="s">
        <v>18</v>
      </c>
      <c r="C22" s="4" t="str">
        <f t="shared" ca="1" si="0"/>
        <v>Analista 3</v>
      </c>
      <c r="D22" s="5">
        <f t="shared" ca="1" si="1"/>
        <v>3980</v>
      </c>
      <c r="E22" s="4" t="str">
        <f t="shared" ca="1" si="2"/>
        <v>DP2</v>
      </c>
    </row>
    <row r="23" spans="1:9" ht="18.600000000000001" thickBot="1">
      <c r="A23" s="8">
        <v>244</v>
      </c>
      <c r="B23" s="8" t="s">
        <v>19</v>
      </c>
      <c r="C23" s="8" t="str">
        <f t="shared" ca="1" si="0"/>
        <v>Analista 1</v>
      </c>
      <c r="D23" s="9">
        <f t="shared" ca="1" si="1"/>
        <v>3101</v>
      </c>
      <c r="E23" s="8" t="str">
        <f t="shared" ca="1" si="2"/>
        <v>DP5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D2889-E671-4C97-8755-BED66D912C10}">
  <dimension ref="B3:J19"/>
  <sheetViews>
    <sheetView topLeftCell="A3" zoomScale="160" zoomScaleNormal="160" workbookViewId="0">
      <selection activeCell="H5" sqref="H5"/>
    </sheetView>
  </sheetViews>
  <sheetFormatPr defaultRowHeight="14.4"/>
  <cols>
    <col min="2" max="2" width="9.44140625" bestFit="1" customWidth="1"/>
    <col min="3" max="3" width="14.44140625" bestFit="1" customWidth="1"/>
    <col min="4" max="4" width="13.44140625" bestFit="1" customWidth="1"/>
    <col min="5" max="5" width="16.44140625" bestFit="1" customWidth="1"/>
    <col min="8" max="8" width="15.77734375" customWidth="1"/>
    <col min="9" max="9" width="13.21875" customWidth="1"/>
    <col min="10" max="10" width="11.44140625" bestFit="1" customWidth="1"/>
  </cols>
  <sheetData>
    <row r="3" spans="2:10">
      <c r="B3" s="17" t="s">
        <v>20</v>
      </c>
      <c r="C3" s="17" t="s">
        <v>21</v>
      </c>
      <c r="D3" s="17" t="s">
        <v>22</v>
      </c>
      <c r="E3" s="17" t="s">
        <v>23</v>
      </c>
      <c r="G3" s="18" t="s">
        <v>24</v>
      </c>
      <c r="H3" s="19" t="s">
        <v>21</v>
      </c>
      <c r="I3" s="19" t="s">
        <v>22</v>
      </c>
      <c r="J3" s="19" t="s">
        <v>23</v>
      </c>
    </row>
    <row r="4" spans="2:10">
      <c r="B4" s="20">
        <v>44562</v>
      </c>
      <c r="C4" s="20" t="s">
        <v>25</v>
      </c>
      <c r="D4" s="20" t="s">
        <v>26</v>
      </c>
      <c r="E4" s="21">
        <v>87</v>
      </c>
      <c r="G4" s="22">
        <v>44563</v>
      </c>
      <c r="H4" s="22" t="str">
        <f>VLOOKUP(G4,Tabela1[#All],2,0)</f>
        <v>Produto 2</v>
      </c>
      <c r="I4" s="22"/>
      <c r="J4" s="22"/>
    </row>
    <row r="5" spans="2:10">
      <c r="B5" s="20">
        <v>44563</v>
      </c>
      <c r="C5" s="20" t="s">
        <v>29</v>
      </c>
      <c r="D5" s="20" t="s">
        <v>26</v>
      </c>
      <c r="E5" s="21">
        <v>80</v>
      </c>
    </row>
    <row r="6" spans="2:10">
      <c r="B6" s="20">
        <v>44564</v>
      </c>
      <c r="C6" s="20" t="s">
        <v>30</v>
      </c>
      <c r="D6" s="20" t="s">
        <v>26</v>
      </c>
      <c r="E6" s="21">
        <v>71</v>
      </c>
    </row>
    <row r="7" spans="2:10">
      <c r="B7" s="20">
        <v>44565</v>
      </c>
      <c r="C7" s="20" t="s">
        <v>27</v>
      </c>
      <c r="D7" s="20" t="s">
        <v>26</v>
      </c>
      <c r="E7" s="21">
        <v>69</v>
      </c>
    </row>
    <row r="8" spans="2:10">
      <c r="B8" s="20">
        <v>44566</v>
      </c>
      <c r="C8" s="20" t="s">
        <v>25</v>
      </c>
      <c r="D8" s="20" t="s">
        <v>31</v>
      </c>
      <c r="E8" s="21">
        <v>85</v>
      </c>
    </row>
    <row r="9" spans="2:10">
      <c r="B9" s="20">
        <v>44567</v>
      </c>
      <c r="C9" s="20" t="s">
        <v>29</v>
      </c>
      <c r="D9" s="20" t="s">
        <v>31</v>
      </c>
      <c r="E9" s="21">
        <v>63</v>
      </c>
    </row>
    <row r="10" spans="2:10">
      <c r="B10" s="20">
        <v>44568</v>
      </c>
      <c r="C10" s="20" t="s">
        <v>30</v>
      </c>
      <c r="D10" s="20" t="s">
        <v>31</v>
      </c>
      <c r="E10" s="21">
        <v>70</v>
      </c>
    </row>
    <row r="11" spans="2:10">
      <c r="B11" s="20">
        <v>44569</v>
      </c>
      <c r="C11" s="20" t="s">
        <v>27</v>
      </c>
      <c r="D11" s="20" t="s">
        <v>31</v>
      </c>
      <c r="E11" s="21">
        <v>75</v>
      </c>
    </row>
    <row r="12" spans="2:10">
      <c r="B12" s="20">
        <v>44574</v>
      </c>
      <c r="C12" s="20" t="s">
        <v>25</v>
      </c>
      <c r="D12" s="20" t="s">
        <v>28</v>
      </c>
      <c r="E12" s="21">
        <v>52</v>
      </c>
    </row>
    <row r="13" spans="2:10">
      <c r="B13" s="20">
        <v>44575</v>
      </c>
      <c r="C13" s="20" t="s">
        <v>29</v>
      </c>
      <c r="D13" s="20" t="s">
        <v>28</v>
      </c>
      <c r="E13" s="21">
        <v>51</v>
      </c>
    </row>
    <row r="14" spans="2:10">
      <c r="B14" s="20">
        <v>44576</v>
      </c>
      <c r="C14" s="20" t="s">
        <v>30</v>
      </c>
      <c r="D14" s="20" t="s">
        <v>28</v>
      </c>
      <c r="E14" s="21">
        <v>65</v>
      </c>
    </row>
    <row r="15" spans="2:10">
      <c r="B15" s="20">
        <v>44577</v>
      </c>
      <c r="C15" s="20" t="s">
        <v>27</v>
      </c>
      <c r="D15" s="20" t="s">
        <v>28</v>
      </c>
      <c r="E15" s="21">
        <v>95</v>
      </c>
    </row>
    <row r="16" spans="2:10">
      <c r="B16" s="20">
        <v>44570</v>
      </c>
      <c r="C16" s="20" t="s">
        <v>25</v>
      </c>
      <c r="D16" s="20" t="s">
        <v>32</v>
      </c>
      <c r="E16" s="21">
        <v>96</v>
      </c>
    </row>
    <row r="17" spans="2:5">
      <c r="B17" s="20">
        <v>44571</v>
      </c>
      <c r="C17" s="20" t="s">
        <v>29</v>
      </c>
      <c r="D17" s="20" t="s">
        <v>32</v>
      </c>
      <c r="E17" s="21">
        <v>74</v>
      </c>
    </row>
    <row r="18" spans="2:5">
      <c r="B18" s="20">
        <v>44572</v>
      </c>
      <c r="C18" s="20" t="s">
        <v>30</v>
      </c>
      <c r="D18" s="20" t="s">
        <v>32</v>
      </c>
      <c r="E18" s="21">
        <v>64</v>
      </c>
    </row>
    <row r="19" spans="2:5">
      <c r="B19" s="20">
        <v>44573</v>
      </c>
      <c r="C19" s="20" t="s">
        <v>27</v>
      </c>
      <c r="D19" s="20" t="s">
        <v>32</v>
      </c>
      <c r="E19" s="21">
        <v>75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9F54-3085-4EBC-968C-6890CBDF12CF}">
  <dimension ref="A1:H24"/>
  <sheetViews>
    <sheetView zoomScale="130" zoomScaleNormal="130" workbookViewId="0">
      <selection activeCell="G8" sqref="G8"/>
    </sheetView>
  </sheetViews>
  <sheetFormatPr defaultRowHeight="14.4"/>
  <cols>
    <col min="2" max="2" width="18.33203125" bestFit="1" customWidth="1"/>
    <col min="3" max="3" width="16.5546875" bestFit="1" customWidth="1"/>
  </cols>
  <sheetData>
    <row r="1" spans="1:8" ht="21">
      <c r="A1" s="171" t="s">
        <v>77</v>
      </c>
      <c r="B1" s="171"/>
      <c r="C1" s="171"/>
      <c r="D1" s="46"/>
      <c r="E1" s="46"/>
      <c r="F1" s="46"/>
      <c r="G1" s="46"/>
      <c r="H1" s="46"/>
    </row>
    <row r="2" spans="1:8">
      <c r="A2" s="47"/>
      <c r="B2" s="47"/>
      <c r="C2" s="47"/>
      <c r="D2" s="46"/>
      <c r="E2" s="46"/>
      <c r="F2" s="46"/>
      <c r="G2" s="46"/>
      <c r="H2" s="46"/>
    </row>
    <row r="3" spans="1:8">
      <c r="A3" s="47"/>
      <c r="B3" s="47"/>
      <c r="C3" s="47"/>
      <c r="D3" s="46"/>
      <c r="E3" s="46"/>
      <c r="F3" s="46"/>
      <c r="G3" s="46"/>
      <c r="H3" s="46"/>
    </row>
    <row r="4" spans="1:8">
      <c r="A4" s="47" t="s">
        <v>0</v>
      </c>
      <c r="B4" s="47" t="s">
        <v>1</v>
      </c>
      <c r="C4" s="47" t="s">
        <v>78</v>
      </c>
      <c r="D4" s="46"/>
      <c r="E4" s="46"/>
      <c r="F4" s="46"/>
      <c r="G4" s="46"/>
      <c r="H4" s="46"/>
    </row>
    <row r="5" spans="1:8">
      <c r="A5" s="47">
        <v>7598</v>
      </c>
      <c r="B5" s="47" t="s">
        <v>79</v>
      </c>
      <c r="C5" s="47" t="s">
        <v>80</v>
      </c>
      <c r="D5" s="46"/>
      <c r="E5" s="46"/>
      <c r="F5" s="46"/>
      <c r="G5" s="46"/>
      <c r="H5" s="46"/>
    </row>
    <row r="6" spans="1:8">
      <c r="A6" s="47">
        <v>6532</v>
      </c>
      <c r="B6" s="47" t="s">
        <v>81</v>
      </c>
      <c r="C6" s="47" t="s">
        <v>82</v>
      </c>
      <c r="D6" s="46"/>
      <c r="E6" s="48" t="s">
        <v>0</v>
      </c>
      <c r="F6" s="48"/>
      <c r="G6" s="48" t="s">
        <v>78</v>
      </c>
      <c r="H6" s="46"/>
    </row>
    <row r="7" spans="1:8" ht="15" thickBot="1">
      <c r="A7" s="47">
        <v>4125</v>
      </c>
      <c r="B7" s="47" t="s">
        <v>83</v>
      </c>
      <c r="C7" s="47" t="s">
        <v>84</v>
      </c>
      <c r="D7" s="46"/>
      <c r="E7" s="48"/>
      <c r="F7" s="48"/>
      <c r="G7" s="48"/>
      <c r="H7" s="46"/>
    </row>
    <row r="8" spans="1:8" ht="15" thickBot="1">
      <c r="A8" s="47">
        <v>7894</v>
      </c>
      <c r="B8" s="47" t="s">
        <v>85</v>
      </c>
      <c r="C8" s="47" t="s">
        <v>86</v>
      </c>
      <c r="D8" s="46"/>
      <c r="E8" s="49">
        <v>6532</v>
      </c>
      <c r="F8" s="48"/>
      <c r="G8" s="50"/>
      <c r="H8" s="46"/>
    </row>
    <row r="9" spans="1:8">
      <c r="A9" s="47">
        <v>3265</v>
      </c>
      <c r="B9" s="47" t="s">
        <v>87</v>
      </c>
      <c r="C9" s="47" t="s">
        <v>80</v>
      </c>
      <c r="D9" s="46"/>
      <c r="E9" s="48"/>
      <c r="F9" s="48"/>
      <c r="G9" s="48"/>
      <c r="H9" s="46"/>
    </row>
    <row r="10" spans="1:8">
      <c r="A10" s="47">
        <v>1425</v>
      </c>
      <c r="B10" s="47" t="s">
        <v>88</v>
      </c>
      <c r="C10" s="47" t="s">
        <v>80</v>
      </c>
      <c r="D10" s="46"/>
      <c r="E10" s="46"/>
      <c r="F10" s="46"/>
      <c r="G10" s="46"/>
      <c r="H10" s="46"/>
    </row>
    <row r="11" spans="1:8">
      <c r="A11" s="47">
        <v>8963</v>
      </c>
      <c r="B11" s="47" t="s">
        <v>89</v>
      </c>
      <c r="C11" s="47" t="s">
        <v>84</v>
      </c>
      <c r="D11" s="46"/>
      <c r="E11" s="46"/>
      <c r="F11" s="46"/>
      <c r="G11" s="46"/>
      <c r="H11" s="46"/>
    </row>
    <row r="12" spans="1:8">
      <c r="A12" s="47">
        <v>7458</v>
      </c>
      <c r="B12" s="47" t="s">
        <v>90</v>
      </c>
      <c r="C12" s="47" t="s">
        <v>86</v>
      </c>
      <c r="D12" s="46"/>
      <c r="E12" s="46"/>
      <c r="F12" s="46"/>
      <c r="G12" s="46"/>
      <c r="H12" s="46"/>
    </row>
    <row r="13" spans="1:8">
      <c r="A13" s="47">
        <v>2567</v>
      </c>
      <c r="B13" s="47" t="s">
        <v>91</v>
      </c>
      <c r="C13" s="47" t="s">
        <v>86</v>
      </c>
      <c r="D13" s="46"/>
      <c r="E13" s="46"/>
      <c r="F13" s="46"/>
      <c r="G13" s="46"/>
      <c r="H13" s="46"/>
    </row>
    <row r="14" spans="1:8">
      <c r="A14" s="47">
        <v>5463</v>
      </c>
      <c r="B14" s="47" t="s">
        <v>92</v>
      </c>
      <c r="C14" s="47" t="s">
        <v>93</v>
      </c>
      <c r="D14" s="46"/>
      <c r="E14" s="46"/>
      <c r="F14" s="46"/>
      <c r="G14" s="46"/>
      <c r="H14" s="46"/>
    </row>
    <row r="15" spans="1:8">
      <c r="A15" s="47">
        <v>1872</v>
      </c>
      <c r="B15" s="47" t="s">
        <v>94</v>
      </c>
      <c r="C15" s="47" t="s">
        <v>84</v>
      </c>
      <c r="D15" s="46"/>
      <c r="E15" s="46"/>
      <c r="F15" s="46"/>
      <c r="G15" s="46"/>
      <c r="H15" s="46"/>
    </row>
    <row r="16" spans="1:8">
      <c r="A16" s="47">
        <v>3048</v>
      </c>
      <c r="B16" s="47" t="s">
        <v>95</v>
      </c>
      <c r="C16" s="47" t="s">
        <v>93</v>
      </c>
      <c r="D16" s="46"/>
      <c r="E16" s="46"/>
      <c r="F16" s="46"/>
      <c r="G16" s="46"/>
      <c r="H16" s="46"/>
    </row>
    <row r="17" spans="1:8">
      <c r="A17" s="47">
        <v>2059</v>
      </c>
      <c r="B17" s="47" t="s">
        <v>96</v>
      </c>
      <c r="C17" s="47" t="s">
        <v>82</v>
      </c>
      <c r="D17" s="46"/>
      <c r="E17" s="46"/>
      <c r="F17" s="46"/>
      <c r="G17" s="46"/>
      <c r="H17" s="46"/>
    </row>
    <row r="18" spans="1:8" ht="15" thickBot="1">
      <c r="A18" s="47">
        <v>4830</v>
      </c>
      <c r="B18" s="47" t="s">
        <v>97</v>
      </c>
      <c r="C18" s="47" t="s">
        <v>82</v>
      </c>
      <c r="D18" s="46"/>
      <c r="E18" s="46"/>
      <c r="F18" s="46"/>
      <c r="G18" s="46"/>
      <c r="H18" s="46"/>
    </row>
    <row r="19" spans="1:8">
      <c r="A19" s="47">
        <v>2678</v>
      </c>
      <c r="B19" s="47" t="s">
        <v>98</v>
      </c>
      <c r="C19" s="47" t="s">
        <v>80</v>
      </c>
      <c r="D19" s="46"/>
      <c r="E19" s="172" t="s">
        <v>99</v>
      </c>
      <c r="F19" s="173"/>
      <c r="G19" s="173"/>
      <c r="H19" s="174"/>
    </row>
    <row r="20" spans="1:8">
      <c r="A20" s="47">
        <v>9420</v>
      </c>
      <c r="B20" s="47" t="s">
        <v>100</v>
      </c>
      <c r="C20" s="47" t="s">
        <v>84</v>
      </c>
      <c r="D20" s="46"/>
      <c r="E20" s="175"/>
      <c r="F20" s="176"/>
      <c r="G20" s="176"/>
      <c r="H20" s="177"/>
    </row>
    <row r="21" spans="1:8" ht="15" thickBot="1">
      <c r="A21" s="47">
        <v>1003</v>
      </c>
      <c r="B21" s="47" t="s">
        <v>101</v>
      </c>
      <c r="C21" s="47" t="s">
        <v>93</v>
      </c>
      <c r="D21" s="46"/>
      <c r="E21" s="178"/>
      <c r="F21" s="179"/>
      <c r="G21" s="179"/>
      <c r="H21" s="180"/>
    </row>
    <row r="22" spans="1:8">
      <c r="A22" s="47">
        <v>6755</v>
      </c>
      <c r="B22" s="47" t="s">
        <v>102</v>
      </c>
      <c r="C22" s="47" t="s">
        <v>93</v>
      </c>
      <c r="D22" s="46"/>
      <c r="E22" s="46"/>
      <c r="F22" s="46"/>
      <c r="G22" s="46"/>
      <c r="H22" s="46"/>
    </row>
    <row r="23" spans="1:8">
      <c r="A23" s="47">
        <v>2248</v>
      </c>
      <c r="B23" s="47" t="s">
        <v>103</v>
      </c>
      <c r="C23" s="47" t="s">
        <v>86</v>
      </c>
      <c r="D23" s="46"/>
      <c r="E23" s="46"/>
      <c r="F23" s="46"/>
      <c r="G23" s="46"/>
      <c r="H23" s="46"/>
    </row>
    <row r="24" spans="1:8">
      <c r="A24" s="47">
        <v>3335</v>
      </c>
      <c r="B24" s="47" t="s">
        <v>104</v>
      </c>
      <c r="C24" s="47" t="s">
        <v>80</v>
      </c>
      <c r="D24" s="46"/>
      <c r="E24" s="46"/>
      <c r="F24" s="46"/>
      <c r="G24" s="46"/>
      <c r="H24" s="46"/>
    </row>
  </sheetData>
  <mergeCells count="2">
    <mergeCell ref="A1:C1"/>
    <mergeCell ref="E19:H21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4D0B-B846-447B-8AA7-8D1AF3047441}">
  <dimension ref="A1:G7"/>
  <sheetViews>
    <sheetView zoomScale="280" zoomScaleNormal="280" workbookViewId="0">
      <selection activeCell="D8" sqref="D8"/>
    </sheetView>
  </sheetViews>
  <sheetFormatPr defaultRowHeight="14.4"/>
  <cols>
    <col min="2" max="2" width="14.5546875" bestFit="1" customWidth="1"/>
  </cols>
  <sheetData>
    <row r="1" spans="1:7">
      <c r="A1" s="51" t="s">
        <v>105</v>
      </c>
      <c r="D1" s="51" t="s">
        <v>106</v>
      </c>
    </row>
    <row r="2" spans="1:7" ht="15" thickBot="1">
      <c r="A2" s="51"/>
      <c r="D2" s="51"/>
    </row>
    <row r="3" spans="1:7">
      <c r="A3" s="52" t="s">
        <v>107</v>
      </c>
      <c r="B3" s="53" t="s">
        <v>108</v>
      </c>
      <c r="D3" s="52" t="s">
        <v>109</v>
      </c>
      <c r="E3" s="54" t="s">
        <v>110</v>
      </c>
      <c r="F3" s="54" t="s">
        <v>111</v>
      </c>
      <c r="G3" s="53" t="s">
        <v>112</v>
      </c>
    </row>
    <row r="4" spans="1:7">
      <c r="A4" s="55" t="s">
        <v>109</v>
      </c>
      <c r="B4" s="56">
        <f>HLOOKUP(A4,D3:G4,2,0)</f>
        <v>5.6</v>
      </c>
      <c r="D4" s="55">
        <v>5.6</v>
      </c>
      <c r="E4">
        <v>8.6</v>
      </c>
      <c r="F4">
        <v>1.25</v>
      </c>
      <c r="G4" s="56">
        <v>9.5</v>
      </c>
    </row>
    <row r="5" spans="1:7">
      <c r="A5" s="55" t="s">
        <v>110</v>
      </c>
      <c r="B5" s="56"/>
      <c r="D5" s="55"/>
      <c r="G5" s="56"/>
    </row>
    <row r="6" spans="1:7">
      <c r="A6" s="55" t="s">
        <v>111</v>
      </c>
      <c r="B6" s="56"/>
      <c r="D6" s="55"/>
      <c r="G6" s="56"/>
    </row>
    <row r="7" spans="1:7" ht="15" thickBot="1">
      <c r="A7" s="57" t="s">
        <v>112</v>
      </c>
      <c r="B7" s="58"/>
      <c r="D7" s="59"/>
      <c r="E7" s="60"/>
      <c r="F7" s="60"/>
      <c r="G7" s="58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08392-CB66-4BDF-B31A-BDBB0D033E9A}">
  <dimension ref="A1:K25"/>
  <sheetViews>
    <sheetView topLeftCell="D1" zoomScale="235" zoomScaleNormal="235" workbookViewId="0">
      <selection activeCell="K8" sqref="K8"/>
    </sheetView>
  </sheetViews>
  <sheetFormatPr defaultRowHeight="14.4"/>
  <cols>
    <col min="3" max="3" width="11.21875" bestFit="1" customWidth="1"/>
    <col min="8" max="8" width="10.6640625" bestFit="1" customWidth="1"/>
    <col min="10" max="10" width="14.21875" bestFit="1" customWidth="1"/>
    <col min="11" max="11" width="10.6640625" bestFit="1" customWidth="1"/>
  </cols>
  <sheetData>
    <row r="1" spans="1:11" ht="15.6">
      <c r="A1" s="61" t="s">
        <v>113</v>
      </c>
      <c r="B1" s="62" t="s">
        <v>21</v>
      </c>
      <c r="C1" s="62" t="s">
        <v>114</v>
      </c>
      <c r="D1" s="62" t="s">
        <v>115</v>
      </c>
      <c r="E1" s="62" t="s">
        <v>116</v>
      </c>
      <c r="F1" s="63"/>
      <c r="G1" s="63"/>
      <c r="H1" s="63"/>
      <c r="I1" s="63"/>
      <c r="J1" s="63"/>
      <c r="K1" s="63"/>
    </row>
    <row r="2" spans="1:11">
      <c r="A2" s="64">
        <v>10232</v>
      </c>
      <c r="B2" s="65" t="s">
        <v>117</v>
      </c>
      <c r="C2" s="66">
        <v>44997</v>
      </c>
      <c r="D2" s="65" t="s">
        <v>5</v>
      </c>
      <c r="E2" s="65" t="s">
        <v>118</v>
      </c>
      <c r="F2" s="67"/>
      <c r="G2" s="181" t="s">
        <v>119</v>
      </c>
      <c r="H2" s="182"/>
      <c r="I2" s="67"/>
      <c r="J2" s="181" t="s">
        <v>119</v>
      </c>
      <c r="K2" s="182"/>
    </row>
    <row r="3" spans="1:11">
      <c r="A3" s="64">
        <v>12202</v>
      </c>
      <c r="B3" s="65" t="s">
        <v>120</v>
      </c>
      <c r="C3" s="66">
        <v>45000</v>
      </c>
      <c r="D3" s="65" t="s">
        <v>5</v>
      </c>
      <c r="E3" s="65" t="s">
        <v>121</v>
      </c>
      <c r="F3" s="67"/>
      <c r="G3" s="183"/>
      <c r="H3" s="184"/>
      <c r="I3" s="67"/>
      <c r="J3" s="183"/>
      <c r="K3" s="184"/>
    </row>
    <row r="4" spans="1:11" ht="15.6">
      <c r="A4" s="64">
        <v>13019</v>
      </c>
      <c r="B4" s="65" t="s">
        <v>122</v>
      </c>
      <c r="C4" s="66">
        <v>45000</v>
      </c>
      <c r="D4" s="65" t="s">
        <v>12</v>
      </c>
      <c r="E4" s="65" t="s">
        <v>118</v>
      </c>
      <c r="F4" s="67"/>
      <c r="G4" s="68" t="s">
        <v>123</v>
      </c>
      <c r="H4" s="65">
        <v>14141</v>
      </c>
      <c r="I4" s="67"/>
      <c r="J4" s="68" t="s">
        <v>124</v>
      </c>
      <c r="K4" s="65" t="s">
        <v>125</v>
      </c>
    </row>
    <row r="5" spans="1:11">
      <c r="A5" s="64">
        <v>14103</v>
      </c>
      <c r="B5" s="65" t="s">
        <v>126</v>
      </c>
      <c r="C5" s="66">
        <v>45001</v>
      </c>
      <c r="D5" s="65" t="s">
        <v>5</v>
      </c>
      <c r="E5" s="65" t="s">
        <v>118</v>
      </c>
      <c r="F5" s="67"/>
      <c r="G5" s="185"/>
      <c r="H5" s="186"/>
      <c r="I5" s="67"/>
      <c r="J5" s="185"/>
      <c r="K5" s="186"/>
    </row>
    <row r="6" spans="1:11" ht="15.6">
      <c r="A6" s="64">
        <v>23004</v>
      </c>
      <c r="B6" s="65" t="s">
        <v>127</v>
      </c>
      <c r="C6" s="66">
        <v>45003</v>
      </c>
      <c r="D6" s="65" t="s">
        <v>128</v>
      </c>
      <c r="E6" s="65" t="s">
        <v>118</v>
      </c>
      <c r="F6" s="67"/>
      <c r="G6" s="68" t="s">
        <v>129</v>
      </c>
      <c r="H6" s="66"/>
      <c r="I6" s="67"/>
      <c r="J6" s="68" t="s">
        <v>129</v>
      </c>
      <c r="K6" s="66"/>
    </row>
    <row r="7" spans="1:11" ht="15.6">
      <c r="A7" s="64">
        <v>21004</v>
      </c>
      <c r="B7" s="65" t="s">
        <v>130</v>
      </c>
      <c r="C7" s="66">
        <v>45004</v>
      </c>
      <c r="D7" s="65" t="s">
        <v>12</v>
      </c>
      <c r="E7" s="65" t="s">
        <v>118</v>
      </c>
      <c r="F7" s="67"/>
      <c r="G7" s="68" t="s">
        <v>131</v>
      </c>
      <c r="H7" s="65"/>
      <c r="I7" s="67"/>
      <c r="J7" s="68" t="s">
        <v>132</v>
      </c>
      <c r="K7" s="65"/>
    </row>
    <row r="8" spans="1:11">
      <c r="A8" s="64">
        <v>19884</v>
      </c>
      <c r="B8" s="65" t="s">
        <v>133</v>
      </c>
      <c r="C8" s="66">
        <v>45005</v>
      </c>
      <c r="D8" s="65" t="s">
        <v>12</v>
      </c>
      <c r="E8" s="65" t="s">
        <v>118</v>
      </c>
      <c r="F8" s="67"/>
      <c r="G8" s="67"/>
      <c r="H8" s="67"/>
      <c r="I8" s="67"/>
      <c r="J8" s="67"/>
      <c r="K8" s="67"/>
    </row>
    <row r="9" spans="1:11">
      <c r="A9" s="64">
        <v>15452</v>
      </c>
      <c r="B9" s="65" t="s">
        <v>134</v>
      </c>
      <c r="C9" s="66">
        <v>45005</v>
      </c>
      <c r="D9" s="65" t="s">
        <v>128</v>
      </c>
      <c r="E9" s="65" t="s">
        <v>118</v>
      </c>
      <c r="F9" s="67"/>
      <c r="G9" s="67"/>
      <c r="H9" s="67"/>
      <c r="I9" s="67"/>
      <c r="J9" s="67"/>
      <c r="K9" s="67"/>
    </row>
    <row r="10" spans="1:11">
      <c r="A10" s="64">
        <v>16333</v>
      </c>
      <c r="B10" s="65" t="s">
        <v>135</v>
      </c>
      <c r="C10" s="66">
        <v>45005</v>
      </c>
      <c r="D10" s="65" t="s">
        <v>12</v>
      </c>
      <c r="E10" s="65" t="s">
        <v>121</v>
      </c>
      <c r="F10" s="67"/>
      <c r="G10" s="67"/>
      <c r="H10" s="67"/>
      <c r="I10" s="67"/>
      <c r="J10" s="67"/>
      <c r="K10" s="67"/>
    </row>
    <row r="11" spans="1:11">
      <c r="A11" s="64">
        <v>10198</v>
      </c>
      <c r="B11" s="65" t="s">
        <v>136</v>
      </c>
      <c r="C11" s="66">
        <v>45006</v>
      </c>
      <c r="D11" s="65" t="s">
        <v>5</v>
      </c>
      <c r="E11" s="65" t="s">
        <v>118</v>
      </c>
      <c r="F11" s="67"/>
      <c r="G11" s="67"/>
      <c r="H11" s="67"/>
      <c r="I11" s="67"/>
      <c r="J11" s="67"/>
      <c r="K11" s="67"/>
    </row>
    <row r="12" spans="1:11">
      <c r="A12" s="64">
        <v>16542</v>
      </c>
      <c r="B12" s="65" t="s">
        <v>125</v>
      </c>
      <c r="C12" s="66">
        <v>45007</v>
      </c>
      <c r="D12" s="65" t="s">
        <v>128</v>
      </c>
      <c r="E12" s="65" t="s">
        <v>118</v>
      </c>
      <c r="F12" s="67"/>
      <c r="G12" s="67"/>
      <c r="H12" s="67"/>
      <c r="I12" s="67"/>
      <c r="J12" s="67"/>
      <c r="K12" s="67"/>
    </row>
    <row r="13" spans="1:11">
      <c r="A13" s="64">
        <v>99852</v>
      </c>
      <c r="B13" s="65" t="s">
        <v>137</v>
      </c>
      <c r="C13" s="66">
        <v>45010</v>
      </c>
      <c r="D13" s="65" t="s">
        <v>128</v>
      </c>
      <c r="E13" s="65" t="s">
        <v>118</v>
      </c>
      <c r="F13" s="67"/>
      <c r="G13" s="67"/>
      <c r="H13" s="67"/>
      <c r="I13" s="67"/>
      <c r="J13" s="67"/>
      <c r="K13" s="67"/>
    </row>
    <row r="14" spans="1:11">
      <c r="A14" s="64">
        <v>14002</v>
      </c>
      <c r="B14" s="65" t="s">
        <v>138</v>
      </c>
      <c r="C14" s="66">
        <v>45013</v>
      </c>
      <c r="D14" s="65" t="s">
        <v>12</v>
      </c>
      <c r="E14" s="65" t="s">
        <v>118</v>
      </c>
      <c r="F14" s="67"/>
      <c r="G14" s="67"/>
      <c r="H14" s="67"/>
      <c r="I14" s="67"/>
      <c r="J14" s="67"/>
      <c r="K14" s="67"/>
    </row>
    <row r="15" spans="1:11">
      <c r="A15" s="64">
        <v>30774</v>
      </c>
      <c r="B15" s="65" t="s">
        <v>139</v>
      </c>
      <c r="C15" s="66">
        <v>45013</v>
      </c>
      <c r="D15" s="65" t="s">
        <v>5</v>
      </c>
      <c r="E15" s="65" t="s">
        <v>118</v>
      </c>
      <c r="F15" s="67"/>
      <c r="G15" s="67"/>
      <c r="H15" s="67"/>
      <c r="I15" s="67"/>
      <c r="J15" s="67"/>
      <c r="K15" s="67"/>
    </row>
    <row r="16" spans="1:11">
      <c r="A16" s="64">
        <v>14141</v>
      </c>
      <c r="B16" s="65" t="s">
        <v>140</v>
      </c>
      <c r="C16" s="66">
        <v>45014</v>
      </c>
      <c r="D16" s="65" t="s">
        <v>12</v>
      </c>
      <c r="E16" s="65" t="s">
        <v>121</v>
      </c>
      <c r="F16" s="67"/>
      <c r="G16" s="67"/>
      <c r="H16" s="67"/>
      <c r="I16" s="67"/>
      <c r="J16" s="67"/>
      <c r="K16" s="67"/>
    </row>
    <row r="17" spans="1:11">
      <c r="A17" s="64">
        <v>12543</v>
      </c>
      <c r="B17" s="65" t="s">
        <v>141</v>
      </c>
      <c r="C17" s="66">
        <v>44957</v>
      </c>
      <c r="D17" s="65" t="s">
        <v>5</v>
      </c>
      <c r="E17" s="65" t="s">
        <v>118</v>
      </c>
      <c r="F17" s="67"/>
      <c r="G17" s="67"/>
      <c r="H17" s="67"/>
      <c r="I17" s="67"/>
      <c r="J17" s="67"/>
      <c r="K17" s="67"/>
    </row>
    <row r="18" spans="1:11">
      <c r="A18" s="64">
        <v>13698</v>
      </c>
      <c r="B18" s="65" t="s">
        <v>142</v>
      </c>
      <c r="C18" s="66">
        <v>45017</v>
      </c>
      <c r="D18" s="65" t="s">
        <v>128</v>
      </c>
      <c r="E18" s="65" t="s">
        <v>121</v>
      </c>
      <c r="F18" s="67"/>
      <c r="G18" s="67"/>
      <c r="H18" s="67"/>
      <c r="I18" s="67"/>
      <c r="J18" s="67"/>
      <c r="K18" s="67"/>
    </row>
    <row r="19" spans="1:11">
      <c r="A19" s="64">
        <v>12110</v>
      </c>
      <c r="B19" s="65" t="s">
        <v>143</v>
      </c>
      <c r="C19" s="66">
        <v>45019</v>
      </c>
      <c r="D19" s="65" t="s">
        <v>128</v>
      </c>
      <c r="E19" s="65" t="s">
        <v>121</v>
      </c>
      <c r="F19" s="67"/>
      <c r="G19" s="67"/>
      <c r="H19" s="67"/>
      <c r="I19" s="67"/>
      <c r="J19" s="67"/>
      <c r="K19" s="67"/>
    </row>
    <row r="20" spans="1:11">
      <c r="A20" s="64"/>
      <c r="B20" s="65"/>
      <c r="C20" s="65"/>
      <c r="D20" s="65"/>
      <c r="E20" s="65"/>
      <c r="F20" s="67"/>
      <c r="G20" s="67"/>
      <c r="H20" s="67"/>
      <c r="I20" s="67"/>
      <c r="J20" s="67"/>
      <c r="K20" s="67"/>
    </row>
    <row r="21" spans="1:11">
      <c r="A21" s="64"/>
      <c r="B21" s="65"/>
      <c r="C21" s="65"/>
      <c r="D21" s="65"/>
      <c r="E21" s="65"/>
      <c r="F21" s="67"/>
      <c r="G21" s="67"/>
      <c r="H21" s="67"/>
      <c r="I21" s="67"/>
      <c r="J21" s="67"/>
      <c r="K21" s="67"/>
    </row>
    <row r="22" spans="1:11">
      <c r="A22" s="64"/>
      <c r="B22" s="65"/>
      <c r="C22" s="65"/>
      <c r="D22" s="65"/>
      <c r="E22" s="65"/>
      <c r="F22" s="67"/>
      <c r="G22" s="67"/>
      <c r="H22" s="67"/>
      <c r="I22" s="67"/>
      <c r="J22" s="67"/>
      <c r="K22" s="67"/>
    </row>
    <row r="23" spans="1:11">
      <c r="A23" s="64"/>
      <c r="B23" s="65"/>
      <c r="C23" s="65"/>
      <c r="D23" s="65"/>
      <c r="E23" s="65"/>
      <c r="F23" s="67"/>
      <c r="G23" s="67"/>
      <c r="H23" s="67"/>
      <c r="I23" s="67"/>
      <c r="J23" s="67"/>
      <c r="K23" s="67"/>
    </row>
    <row r="24" spans="1:11">
      <c r="A24" s="64"/>
      <c r="B24" s="65"/>
      <c r="C24" s="65"/>
      <c r="D24" s="65"/>
      <c r="E24" s="65"/>
      <c r="F24" s="67"/>
      <c r="G24" s="67"/>
      <c r="H24" s="67"/>
      <c r="I24" s="67"/>
      <c r="J24" s="67"/>
      <c r="K24" s="67"/>
    </row>
    <row r="25" spans="1:11">
      <c r="A25" s="64"/>
      <c r="B25" s="65"/>
      <c r="C25" s="65"/>
      <c r="D25" s="65"/>
      <c r="E25" s="65"/>
      <c r="F25" s="67"/>
      <c r="G25" s="67"/>
      <c r="H25" s="67"/>
      <c r="I25" s="67"/>
      <c r="J25" s="67"/>
      <c r="K25" s="67"/>
    </row>
  </sheetData>
  <mergeCells count="4">
    <mergeCell ref="G2:H3"/>
    <mergeCell ref="J2:K3"/>
    <mergeCell ref="G5:H5"/>
    <mergeCell ref="J5:K5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22BFF-FDAB-46E8-87A4-B0EB002EFD8F}">
  <dimension ref="B2:F15"/>
  <sheetViews>
    <sheetView zoomScale="145" zoomScaleNormal="145" workbookViewId="0">
      <selection activeCell="E1" sqref="E1:E1048576"/>
    </sheetView>
  </sheetViews>
  <sheetFormatPr defaultRowHeight="14.4"/>
  <cols>
    <col min="1" max="1" width="5.33203125" customWidth="1"/>
    <col min="2" max="2" width="16.5546875" bestFit="1" customWidth="1"/>
    <col min="3" max="3" width="11" bestFit="1" customWidth="1"/>
    <col min="6" max="6" width="9.109375" bestFit="1" customWidth="1"/>
  </cols>
  <sheetData>
    <row r="2" spans="2:6" ht="15" thickBot="1"/>
    <row r="3" spans="2:6">
      <c r="B3" s="25" t="s">
        <v>33</v>
      </c>
      <c r="C3" s="35" t="s">
        <v>34</v>
      </c>
      <c r="D3" s="35" t="s">
        <v>35</v>
      </c>
      <c r="E3" s="35" t="s">
        <v>2</v>
      </c>
      <c r="F3" s="26" t="s">
        <v>36</v>
      </c>
    </row>
    <row r="4" spans="2:6">
      <c r="B4" s="23" t="s">
        <v>37</v>
      </c>
      <c r="C4" s="34" t="s">
        <v>38</v>
      </c>
      <c r="D4" s="37">
        <v>26</v>
      </c>
      <c r="E4" s="34" t="s">
        <v>39</v>
      </c>
      <c r="F4" s="28">
        <v>2700</v>
      </c>
    </row>
    <row r="5" spans="2:6">
      <c r="B5" s="23" t="s">
        <v>40</v>
      </c>
      <c r="C5" s="34" t="s">
        <v>12</v>
      </c>
      <c r="D5" s="37">
        <v>20</v>
      </c>
      <c r="E5" s="34" t="s">
        <v>41</v>
      </c>
      <c r="F5" s="28">
        <v>2400</v>
      </c>
    </row>
    <row r="6" spans="2:6">
      <c r="B6" s="23" t="s">
        <v>42</v>
      </c>
      <c r="C6" s="34" t="s">
        <v>43</v>
      </c>
      <c r="D6" s="37">
        <v>23</v>
      </c>
      <c r="E6" s="34" t="s">
        <v>44</v>
      </c>
      <c r="F6" s="28">
        <v>1100</v>
      </c>
    </row>
    <row r="7" spans="2:6">
      <c r="B7" s="23" t="s">
        <v>45</v>
      </c>
      <c r="C7" s="34" t="s">
        <v>46</v>
      </c>
      <c r="D7" s="37">
        <v>23</v>
      </c>
      <c r="E7" s="34" t="s">
        <v>44</v>
      </c>
      <c r="F7" s="28">
        <v>3100</v>
      </c>
    </row>
    <row r="8" spans="2:6" ht="15" thickBot="1">
      <c r="B8" s="24" t="s">
        <v>47</v>
      </c>
      <c r="C8" s="36" t="s">
        <v>8</v>
      </c>
      <c r="D8" s="38">
        <v>32</v>
      </c>
      <c r="E8" s="36" t="s">
        <v>48</v>
      </c>
      <c r="F8" s="29">
        <v>1200</v>
      </c>
    </row>
    <row r="9" spans="2:6" ht="15" thickBot="1"/>
    <row r="10" spans="2:6">
      <c r="B10" s="31" t="s">
        <v>34</v>
      </c>
      <c r="C10" s="27" t="s">
        <v>43</v>
      </c>
    </row>
    <row r="11" spans="2:6" ht="15" thickBot="1">
      <c r="B11" s="33" t="s">
        <v>33</v>
      </c>
      <c r="C11" s="30" t="s">
        <v>42</v>
      </c>
    </row>
    <row r="12" spans="2:6" ht="15" thickBot="1"/>
    <row r="13" spans="2:6">
      <c r="B13" s="31" t="s">
        <v>49</v>
      </c>
      <c r="C13" s="27">
        <v>3</v>
      </c>
    </row>
    <row r="14" spans="2:6">
      <c r="B14" s="32" t="s">
        <v>50</v>
      </c>
      <c r="C14" s="41" t="s">
        <v>42</v>
      </c>
    </row>
    <row r="15" spans="2:6" ht="15" thickBot="1">
      <c r="B15" s="39" t="s">
        <v>51</v>
      </c>
      <c r="C15" s="40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0E055-A508-4F21-87D6-44F878B89DFF}">
  <dimension ref="A1:H21"/>
  <sheetViews>
    <sheetView workbookViewId="0">
      <selection sqref="A1:H21"/>
    </sheetView>
  </sheetViews>
  <sheetFormatPr defaultRowHeight="14.4"/>
  <sheetData>
    <row r="1" spans="1:8">
      <c r="A1" s="187" t="s">
        <v>52</v>
      </c>
      <c r="B1" s="187"/>
      <c r="C1" s="187"/>
      <c r="D1" s="187"/>
      <c r="E1" s="187"/>
      <c r="F1" s="187"/>
      <c r="G1" s="187"/>
      <c r="H1" s="42"/>
    </row>
    <row r="2" spans="1:8">
      <c r="A2" s="43" t="s">
        <v>53</v>
      </c>
      <c r="B2" s="34"/>
    </row>
    <row r="3" spans="1:8">
      <c r="A3" s="43" t="s">
        <v>54</v>
      </c>
      <c r="B3" s="34"/>
      <c r="D3" s="188" t="s">
        <v>55</v>
      </c>
      <c r="E3" s="188"/>
    </row>
    <row r="4" spans="1:8">
      <c r="D4" s="44" t="s">
        <v>54</v>
      </c>
      <c r="E4" s="44" t="s">
        <v>56</v>
      </c>
    </row>
    <row r="5" spans="1:8">
      <c r="A5" s="43" t="s">
        <v>57</v>
      </c>
      <c r="B5" s="45">
        <v>25000</v>
      </c>
      <c r="D5" s="37" t="s">
        <v>58</v>
      </c>
      <c r="E5" s="37">
        <v>5000</v>
      </c>
    </row>
    <row r="6" spans="1:8">
      <c r="D6" s="37" t="s">
        <v>59</v>
      </c>
      <c r="E6" s="37">
        <v>4000</v>
      </c>
    </row>
    <row r="7" spans="1:8">
      <c r="A7" s="43" t="s">
        <v>60</v>
      </c>
      <c r="B7" s="34"/>
      <c r="D7" s="37" t="s">
        <v>61</v>
      </c>
      <c r="E7" s="37">
        <v>3000</v>
      </c>
    </row>
    <row r="8" spans="1:8">
      <c r="D8" s="37" t="s">
        <v>62</v>
      </c>
      <c r="E8" s="37">
        <v>2000</v>
      </c>
    </row>
    <row r="9" spans="1:8">
      <c r="A9" s="43" t="s">
        <v>63</v>
      </c>
      <c r="B9" s="34"/>
      <c r="D9" s="37" t="s">
        <v>64</v>
      </c>
      <c r="E9" s="37">
        <v>1000</v>
      </c>
    </row>
    <row r="10" spans="1:8">
      <c r="D10" s="37" t="s">
        <v>65</v>
      </c>
      <c r="E10" s="37">
        <v>500</v>
      </c>
    </row>
    <row r="11" spans="1:8">
      <c r="A11" s="43" t="s">
        <v>66</v>
      </c>
      <c r="B11" s="34"/>
    </row>
    <row r="14" spans="1:8">
      <c r="A14" s="188" t="s">
        <v>67</v>
      </c>
      <c r="B14" s="188"/>
      <c r="C14" s="188"/>
      <c r="D14" s="188"/>
      <c r="E14" s="188"/>
      <c r="F14" s="188"/>
      <c r="G14" s="188"/>
    </row>
    <row r="15" spans="1:8">
      <c r="A15" s="34" t="s">
        <v>54</v>
      </c>
      <c r="B15" s="37" t="s">
        <v>58</v>
      </c>
      <c r="C15" s="37" t="s">
        <v>59</v>
      </c>
      <c r="D15" s="37" t="s">
        <v>61</v>
      </c>
      <c r="E15" s="37" t="s">
        <v>62</v>
      </c>
      <c r="F15" s="37" t="s">
        <v>64</v>
      </c>
      <c r="G15" s="37" t="s">
        <v>65</v>
      </c>
    </row>
    <row r="16" spans="1:8">
      <c r="A16" s="34" t="s">
        <v>68</v>
      </c>
      <c r="B16" s="34" t="s">
        <v>69</v>
      </c>
      <c r="C16" s="34" t="s">
        <v>70</v>
      </c>
      <c r="D16" s="34" t="s">
        <v>71</v>
      </c>
      <c r="E16" s="34" t="s">
        <v>72</v>
      </c>
      <c r="F16" s="34" t="s">
        <v>73</v>
      </c>
      <c r="G16" s="34" t="s">
        <v>74</v>
      </c>
    </row>
    <row r="19" spans="1:8">
      <c r="A19" s="189" t="s">
        <v>75</v>
      </c>
      <c r="B19" s="189"/>
      <c r="C19" s="189"/>
      <c r="D19" s="189"/>
      <c r="E19" s="189"/>
      <c r="F19" s="189"/>
      <c r="G19" s="189"/>
      <c r="H19" s="189"/>
    </row>
    <row r="21" spans="1:8">
      <c r="A21" s="190" t="s">
        <v>76</v>
      </c>
      <c r="B21" s="189"/>
      <c r="C21" s="189"/>
      <c r="D21" s="189"/>
      <c r="E21" s="189"/>
      <c r="F21" s="189"/>
      <c r="G21" s="189"/>
      <c r="H21" s="189"/>
    </row>
  </sheetData>
  <mergeCells count="5">
    <mergeCell ref="A1:G1"/>
    <mergeCell ref="D3:E3"/>
    <mergeCell ref="A14:G14"/>
    <mergeCell ref="A19:H19"/>
    <mergeCell ref="A21:H21"/>
  </mergeCell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7BC63-E92C-4AE8-9676-7E0B6696E3C8}">
  <dimension ref="A1:I705"/>
  <sheetViews>
    <sheetView tabSelected="1" topLeftCell="D3" zoomScale="250" zoomScaleNormal="250" workbookViewId="0">
      <selection activeCell="H3" sqref="H3"/>
    </sheetView>
  </sheetViews>
  <sheetFormatPr defaultRowHeight="14.4"/>
  <cols>
    <col min="1" max="6" width="16" customWidth="1"/>
    <col min="8" max="8" width="14.44140625" bestFit="1" customWidth="1"/>
  </cols>
  <sheetData>
    <row r="1" spans="1:9">
      <c r="A1" s="151" t="s">
        <v>107</v>
      </c>
      <c r="B1" s="151" t="s">
        <v>373</v>
      </c>
      <c r="C1" s="152" t="s">
        <v>376</v>
      </c>
      <c r="D1" s="153"/>
      <c r="E1" s="153"/>
      <c r="F1" s="153"/>
    </row>
    <row r="2" spans="1:9">
      <c r="C2" s="153" t="s">
        <v>391</v>
      </c>
      <c r="D2" s="153"/>
      <c r="E2" s="153"/>
      <c r="F2" s="153"/>
    </row>
    <row r="3" spans="1:9">
      <c r="B3" s="153"/>
      <c r="C3" s="153"/>
      <c r="D3" s="153"/>
      <c r="E3" s="153"/>
      <c r="F3" s="153"/>
    </row>
    <row r="4" spans="1:9">
      <c r="B4" s="153"/>
      <c r="C4" s="153"/>
      <c r="D4" s="153"/>
      <c r="E4" s="153"/>
      <c r="F4" s="153"/>
    </row>
    <row r="5" spans="1:9">
      <c r="A5" s="153"/>
      <c r="B5" s="153"/>
      <c r="C5" s="153"/>
      <c r="D5" s="153"/>
      <c r="E5" s="153"/>
      <c r="F5" s="153"/>
    </row>
    <row r="6" spans="1:9">
      <c r="A6" s="154" t="s">
        <v>373</v>
      </c>
      <c r="B6" s="154" t="s">
        <v>374</v>
      </c>
      <c r="C6" s="154" t="s">
        <v>107</v>
      </c>
      <c r="D6" s="154" t="s">
        <v>375</v>
      </c>
      <c r="E6" s="154" t="s">
        <v>376</v>
      </c>
      <c r="F6" s="154" t="s">
        <v>377</v>
      </c>
      <c r="H6" s="154" t="s">
        <v>107</v>
      </c>
      <c r="I6" s="155" t="s">
        <v>378</v>
      </c>
    </row>
    <row r="7" spans="1:9">
      <c r="A7" s="155" t="s">
        <v>378</v>
      </c>
      <c r="B7" s="156">
        <v>43466</v>
      </c>
      <c r="C7" s="155" t="s">
        <v>379</v>
      </c>
      <c r="D7" s="157">
        <v>150</v>
      </c>
      <c r="E7" s="155">
        <v>1</v>
      </c>
      <c r="F7" s="157">
        <f>E7*D7</f>
        <v>150</v>
      </c>
      <c r="H7" s="155" t="s">
        <v>379</v>
      </c>
      <c r="I7" s="155" t="s">
        <v>159</v>
      </c>
    </row>
    <row r="8" spans="1:9">
      <c r="A8" s="155" t="s">
        <v>378</v>
      </c>
      <c r="B8" s="156">
        <v>43468</v>
      </c>
      <c r="C8" s="155" t="s">
        <v>372</v>
      </c>
      <c r="D8" s="157">
        <v>450</v>
      </c>
      <c r="E8" s="155">
        <v>3</v>
      </c>
      <c r="F8" s="157">
        <f>E8*D8</f>
        <v>1350</v>
      </c>
      <c r="H8" s="155" t="s">
        <v>372</v>
      </c>
      <c r="I8" s="155" t="s">
        <v>380</v>
      </c>
    </row>
    <row r="9" spans="1:9">
      <c r="A9" s="155" t="s">
        <v>159</v>
      </c>
      <c r="B9" s="156">
        <v>43468</v>
      </c>
      <c r="C9" s="155" t="s">
        <v>372</v>
      </c>
      <c r="D9" s="157">
        <v>450</v>
      </c>
      <c r="E9" s="155">
        <v>4</v>
      </c>
      <c r="F9" s="157">
        <f t="shared" ref="F9:F72" si="0">E9*D9</f>
        <v>1800</v>
      </c>
      <c r="H9" s="155" t="s">
        <v>381</v>
      </c>
      <c r="I9" s="155" t="s">
        <v>383</v>
      </c>
    </row>
    <row r="10" spans="1:9">
      <c r="A10" s="155" t="s">
        <v>380</v>
      </c>
      <c r="B10" s="156">
        <v>43468</v>
      </c>
      <c r="C10" s="155" t="s">
        <v>381</v>
      </c>
      <c r="D10" s="157">
        <v>600</v>
      </c>
      <c r="E10" s="155">
        <v>2</v>
      </c>
      <c r="F10" s="157">
        <f t="shared" si="0"/>
        <v>1200</v>
      </c>
      <c r="H10" s="155" t="s">
        <v>382</v>
      </c>
      <c r="I10" s="155" t="s">
        <v>384</v>
      </c>
    </row>
    <row r="11" spans="1:9">
      <c r="A11" s="155" t="s">
        <v>159</v>
      </c>
      <c r="B11" s="156">
        <v>43468</v>
      </c>
      <c r="C11" s="155" t="s">
        <v>381</v>
      </c>
      <c r="D11" s="157">
        <v>600</v>
      </c>
      <c r="E11" s="155">
        <v>1</v>
      </c>
      <c r="F11" s="157">
        <f t="shared" si="0"/>
        <v>600</v>
      </c>
      <c r="H11" s="155" t="s">
        <v>73</v>
      </c>
      <c r="I11" s="155" t="s">
        <v>386</v>
      </c>
    </row>
    <row r="12" spans="1:9">
      <c r="A12" s="155" t="s">
        <v>159</v>
      </c>
      <c r="B12" s="156">
        <v>43469</v>
      </c>
      <c r="C12" s="155" t="s">
        <v>382</v>
      </c>
      <c r="D12" s="157">
        <v>200</v>
      </c>
      <c r="E12" s="155">
        <v>4</v>
      </c>
      <c r="F12" s="157">
        <f t="shared" si="0"/>
        <v>800</v>
      </c>
      <c r="H12" s="155" t="s">
        <v>385</v>
      </c>
    </row>
    <row r="13" spans="1:9">
      <c r="A13" s="155" t="s">
        <v>383</v>
      </c>
      <c r="B13" s="156">
        <v>43469</v>
      </c>
      <c r="C13" s="155" t="s">
        <v>73</v>
      </c>
      <c r="D13" s="157">
        <v>6000</v>
      </c>
      <c r="E13" s="155">
        <v>3</v>
      </c>
      <c r="F13" s="157">
        <f t="shared" si="0"/>
        <v>18000</v>
      </c>
      <c r="H13" s="155" t="s">
        <v>390</v>
      </c>
    </row>
    <row r="14" spans="1:9">
      <c r="A14" s="155" t="s">
        <v>384</v>
      </c>
      <c r="B14" s="156">
        <v>43469</v>
      </c>
      <c r="C14" s="155" t="s">
        <v>73</v>
      </c>
      <c r="D14" s="157">
        <v>6000</v>
      </c>
      <c r="E14" s="155">
        <v>2</v>
      </c>
      <c r="F14" s="157">
        <f t="shared" si="0"/>
        <v>12000</v>
      </c>
    </row>
    <row r="15" spans="1:9">
      <c r="A15" s="155" t="s">
        <v>159</v>
      </c>
      <c r="B15" s="156">
        <v>43469</v>
      </c>
      <c r="C15" s="155" t="s">
        <v>385</v>
      </c>
      <c r="D15" s="157">
        <v>1800</v>
      </c>
      <c r="E15" s="155">
        <v>4</v>
      </c>
      <c r="F15" s="157">
        <f t="shared" si="0"/>
        <v>7200</v>
      </c>
    </row>
    <row r="16" spans="1:9">
      <c r="A16" s="155" t="s">
        <v>386</v>
      </c>
      <c r="B16" s="156">
        <v>43469</v>
      </c>
      <c r="C16" s="155" t="s">
        <v>382</v>
      </c>
      <c r="D16" s="157">
        <v>200</v>
      </c>
      <c r="E16" s="155">
        <v>3</v>
      </c>
      <c r="F16" s="157">
        <f t="shared" si="0"/>
        <v>600</v>
      </c>
    </row>
    <row r="17" spans="1:6">
      <c r="A17" s="155" t="s">
        <v>159</v>
      </c>
      <c r="B17" s="156">
        <v>43471</v>
      </c>
      <c r="C17" s="155" t="s">
        <v>390</v>
      </c>
      <c r="D17" s="157">
        <v>300</v>
      </c>
      <c r="E17" s="155">
        <v>1</v>
      </c>
      <c r="F17" s="157">
        <f t="shared" si="0"/>
        <v>300</v>
      </c>
    </row>
    <row r="18" spans="1:6">
      <c r="A18" s="155" t="s">
        <v>384</v>
      </c>
      <c r="B18" s="156">
        <v>43471</v>
      </c>
      <c r="C18" s="155" t="s">
        <v>379</v>
      </c>
      <c r="D18" s="157">
        <v>150</v>
      </c>
      <c r="E18" s="155">
        <v>3</v>
      </c>
      <c r="F18" s="157">
        <f t="shared" si="0"/>
        <v>450</v>
      </c>
    </row>
    <row r="19" spans="1:6">
      <c r="A19" s="155" t="s">
        <v>378</v>
      </c>
      <c r="B19" s="156">
        <v>43471</v>
      </c>
      <c r="C19" s="155" t="s">
        <v>73</v>
      </c>
      <c r="D19" s="157">
        <v>6000</v>
      </c>
      <c r="E19" s="155">
        <v>4</v>
      </c>
      <c r="F19" s="157">
        <f t="shared" si="0"/>
        <v>24000</v>
      </c>
    </row>
    <row r="20" spans="1:6">
      <c r="A20" s="155" t="s">
        <v>384</v>
      </c>
      <c r="B20" s="156">
        <v>43474</v>
      </c>
      <c r="C20" s="155" t="s">
        <v>379</v>
      </c>
      <c r="D20" s="157">
        <v>150</v>
      </c>
      <c r="E20" s="155">
        <v>3</v>
      </c>
      <c r="F20" s="157">
        <f t="shared" si="0"/>
        <v>450</v>
      </c>
    </row>
    <row r="21" spans="1:6">
      <c r="A21" s="155" t="s">
        <v>380</v>
      </c>
      <c r="B21" s="156">
        <v>43474</v>
      </c>
      <c r="C21" s="155" t="s">
        <v>382</v>
      </c>
      <c r="D21" s="157">
        <v>200</v>
      </c>
      <c r="E21" s="155">
        <v>3</v>
      </c>
      <c r="F21" s="157">
        <f t="shared" si="0"/>
        <v>600</v>
      </c>
    </row>
    <row r="22" spans="1:6">
      <c r="A22" s="155" t="s">
        <v>378</v>
      </c>
      <c r="B22" s="156">
        <v>43475</v>
      </c>
      <c r="C22" s="155" t="s">
        <v>379</v>
      </c>
      <c r="D22" s="157">
        <v>150</v>
      </c>
      <c r="E22" s="155">
        <v>4</v>
      </c>
      <c r="F22" s="157">
        <f t="shared" si="0"/>
        <v>600</v>
      </c>
    </row>
    <row r="23" spans="1:6">
      <c r="A23" s="155" t="s">
        <v>159</v>
      </c>
      <c r="B23" s="156">
        <v>43475</v>
      </c>
      <c r="C23" s="155" t="s">
        <v>372</v>
      </c>
      <c r="D23" s="157">
        <v>450</v>
      </c>
      <c r="E23" s="155">
        <v>1</v>
      </c>
      <c r="F23" s="157">
        <f t="shared" si="0"/>
        <v>450</v>
      </c>
    </row>
    <row r="24" spans="1:6">
      <c r="A24" s="155" t="s">
        <v>384</v>
      </c>
      <c r="B24" s="156">
        <v>43475</v>
      </c>
      <c r="C24" s="155" t="s">
        <v>73</v>
      </c>
      <c r="D24" s="157">
        <v>6000</v>
      </c>
      <c r="E24" s="155">
        <v>2</v>
      </c>
      <c r="F24" s="157">
        <f t="shared" si="0"/>
        <v>12000</v>
      </c>
    </row>
    <row r="25" spans="1:6">
      <c r="A25" s="155" t="s">
        <v>386</v>
      </c>
      <c r="B25" s="156">
        <v>43475</v>
      </c>
      <c r="C25" s="155" t="s">
        <v>381</v>
      </c>
      <c r="D25" s="157">
        <v>600</v>
      </c>
      <c r="E25" s="155">
        <v>1</v>
      </c>
      <c r="F25" s="157">
        <f t="shared" si="0"/>
        <v>600</v>
      </c>
    </row>
    <row r="26" spans="1:6">
      <c r="A26" s="155" t="s">
        <v>159</v>
      </c>
      <c r="B26" s="156">
        <v>43476</v>
      </c>
      <c r="C26" s="155" t="s">
        <v>73</v>
      </c>
      <c r="D26" s="157">
        <v>6000</v>
      </c>
      <c r="E26" s="155">
        <v>2</v>
      </c>
      <c r="F26" s="157">
        <f t="shared" si="0"/>
        <v>12000</v>
      </c>
    </row>
    <row r="27" spans="1:6">
      <c r="A27" s="155" t="s">
        <v>378</v>
      </c>
      <c r="B27" s="156">
        <v>43476</v>
      </c>
      <c r="C27" s="155" t="s">
        <v>390</v>
      </c>
      <c r="D27" s="157">
        <v>300</v>
      </c>
      <c r="E27" s="155">
        <v>2</v>
      </c>
      <c r="F27" s="157">
        <f t="shared" si="0"/>
        <v>600</v>
      </c>
    </row>
    <row r="28" spans="1:6">
      <c r="A28" s="155" t="s">
        <v>159</v>
      </c>
      <c r="B28" s="156">
        <v>43477</v>
      </c>
      <c r="C28" s="155" t="s">
        <v>390</v>
      </c>
      <c r="D28" s="157">
        <v>300</v>
      </c>
      <c r="E28" s="155">
        <v>2</v>
      </c>
      <c r="F28" s="157">
        <f t="shared" si="0"/>
        <v>600</v>
      </c>
    </row>
    <row r="29" spans="1:6">
      <c r="A29" s="155" t="s">
        <v>380</v>
      </c>
      <c r="B29" s="156">
        <v>43478</v>
      </c>
      <c r="C29" s="155" t="s">
        <v>372</v>
      </c>
      <c r="D29" s="157">
        <v>450</v>
      </c>
      <c r="E29" s="155">
        <v>2</v>
      </c>
      <c r="F29" s="157">
        <f t="shared" si="0"/>
        <v>900</v>
      </c>
    </row>
    <row r="30" spans="1:6">
      <c r="A30" s="155" t="s">
        <v>386</v>
      </c>
      <c r="B30" s="156">
        <v>43479</v>
      </c>
      <c r="C30" s="155" t="s">
        <v>382</v>
      </c>
      <c r="D30" s="157">
        <v>200</v>
      </c>
      <c r="E30" s="155">
        <v>1</v>
      </c>
      <c r="F30" s="157">
        <f t="shared" si="0"/>
        <v>200</v>
      </c>
    </row>
    <row r="31" spans="1:6">
      <c r="A31" s="155" t="s">
        <v>384</v>
      </c>
      <c r="B31" s="156">
        <v>43480</v>
      </c>
      <c r="C31" s="155" t="s">
        <v>385</v>
      </c>
      <c r="D31" s="157">
        <v>1800</v>
      </c>
      <c r="E31" s="155">
        <v>1</v>
      </c>
      <c r="F31" s="157">
        <f t="shared" si="0"/>
        <v>1800</v>
      </c>
    </row>
    <row r="32" spans="1:6">
      <c r="A32" s="155" t="s">
        <v>386</v>
      </c>
      <c r="B32" s="156">
        <v>43481</v>
      </c>
      <c r="C32" s="155" t="s">
        <v>390</v>
      </c>
      <c r="D32" s="157">
        <v>300</v>
      </c>
      <c r="E32" s="155">
        <v>4</v>
      </c>
      <c r="F32" s="157">
        <f t="shared" si="0"/>
        <v>1200</v>
      </c>
    </row>
    <row r="33" spans="1:6">
      <c r="A33" s="155" t="s">
        <v>378</v>
      </c>
      <c r="B33" s="156">
        <v>43481</v>
      </c>
      <c r="C33" s="155" t="s">
        <v>385</v>
      </c>
      <c r="D33" s="157">
        <v>1800</v>
      </c>
      <c r="E33" s="155">
        <v>1</v>
      </c>
      <c r="F33" s="157">
        <f t="shared" si="0"/>
        <v>1800</v>
      </c>
    </row>
    <row r="34" spans="1:6">
      <c r="A34" s="155" t="s">
        <v>384</v>
      </c>
      <c r="B34" s="156">
        <v>43481</v>
      </c>
      <c r="C34" s="155" t="s">
        <v>379</v>
      </c>
      <c r="D34" s="157">
        <v>150</v>
      </c>
      <c r="E34" s="155">
        <v>2</v>
      </c>
      <c r="F34" s="157">
        <f t="shared" si="0"/>
        <v>300</v>
      </c>
    </row>
    <row r="35" spans="1:6">
      <c r="A35" s="155" t="s">
        <v>380</v>
      </c>
      <c r="B35" s="156">
        <v>43481</v>
      </c>
      <c r="C35" s="155" t="s">
        <v>390</v>
      </c>
      <c r="D35" s="157">
        <v>300</v>
      </c>
      <c r="E35" s="155">
        <v>4</v>
      </c>
      <c r="F35" s="157">
        <f t="shared" si="0"/>
        <v>1200</v>
      </c>
    </row>
    <row r="36" spans="1:6">
      <c r="A36" s="155" t="s">
        <v>386</v>
      </c>
      <c r="B36" s="156">
        <v>43483</v>
      </c>
      <c r="C36" s="155" t="s">
        <v>390</v>
      </c>
      <c r="D36" s="157">
        <v>300</v>
      </c>
      <c r="E36" s="155">
        <v>4</v>
      </c>
      <c r="F36" s="157">
        <f t="shared" si="0"/>
        <v>1200</v>
      </c>
    </row>
    <row r="37" spans="1:6">
      <c r="A37" s="155" t="s">
        <v>159</v>
      </c>
      <c r="B37" s="156">
        <v>43483</v>
      </c>
      <c r="C37" s="155" t="s">
        <v>385</v>
      </c>
      <c r="D37" s="157">
        <v>1800</v>
      </c>
      <c r="E37" s="155">
        <v>1</v>
      </c>
      <c r="F37" s="157">
        <f t="shared" si="0"/>
        <v>1800</v>
      </c>
    </row>
    <row r="38" spans="1:6">
      <c r="A38" s="155" t="s">
        <v>378</v>
      </c>
      <c r="B38" s="156">
        <v>43484</v>
      </c>
      <c r="C38" s="155" t="s">
        <v>372</v>
      </c>
      <c r="D38" s="157">
        <v>450</v>
      </c>
      <c r="E38" s="155">
        <v>2</v>
      </c>
      <c r="F38" s="157">
        <f t="shared" si="0"/>
        <v>900</v>
      </c>
    </row>
    <row r="39" spans="1:6">
      <c r="A39" s="155" t="s">
        <v>380</v>
      </c>
      <c r="B39" s="156">
        <v>43484</v>
      </c>
      <c r="C39" s="155" t="s">
        <v>385</v>
      </c>
      <c r="D39" s="157">
        <v>1800</v>
      </c>
      <c r="E39" s="155">
        <v>1</v>
      </c>
      <c r="F39" s="157">
        <f t="shared" si="0"/>
        <v>1800</v>
      </c>
    </row>
    <row r="40" spans="1:6">
      <c r="A40" s="155" t="s">
        <v>383</v>
      </c>
      <c r="B40" s="156">
        <v>43484</v>
      </c>
      <c r="C40" s="155" t="s">
        <v>73</v>
      </c>
      <c r="D40" s="157">
        <v>6000</v>
      </c>
      <c r="E40" s="155">
        <v>3</v>
      </c>
      <c r="F40" s="157">
        <f t="shared" si="0"/>
        <v>18000</v>
      </c>
    </row>
    <row r="41" spans="1:6">
      <c r="A41" s="155" t="s">
        <v>159</v>
      </c>
      <c r="B41" s="156">
        <v>43485</v>
      </c>
      <c r="C41" s="155" t="s">
        <v>73</v>
      </c>
      <c r="D41" s="157">
        <v>6000</v>
      </c>
      <c r="E41" s="155">
        <v>2</v>
      </c>
      <c r="F41" s="157">
        <f t="shared" si="0"/>
        <v>12000</v>
      </c>
    </row>
    <row r="42" spans="1:6">
      <c r="A42" s="155" t="s">
        <v>386</v>
      </c>
      <c r="B42" s="156">
        <v>43485</v>
      </c>
      <c r="C42" s="155" t="s">
        <v>382</v>
      </c>
      <c r="D42" s="157">
        <v>200</v>
      </c>
      <c r="E42" s="155">
        <v>3</v>
      </c>
      <c r="F42" s="157">
        <f t="shared" si="0"/>
        <v>600</v>
      </c>
    </row>
    <row r="43" spans="1:6">
      <c r="A43" s="155" t="s">
        <v>380</v>
      </c>
      <c r="B43" s="156">
        <v>43486</v>
      </c>
      <c r="C43" s="155" t="s">
        <v>382</v>
      </c>
      <c r="D43" s="157">
        <v>200</v>
      </c>
      <c r="E43" s="155">
        <v>3</v>
      </c>
      <c r="F43" s="157">
        <f t="shared" si="0"/>
        <v>600</v>
      </c>
    </row>
    <row r="44" spans="1:6">
      <c r="A44" s="155" t="s">
        <v>159</v>
      </c>
      <c r="B44" s="156">
        <v>43486</v>
      </c>
      <c r="C44" s="155" t="s">
        <v>73</v>
      </c>
      <c r="D44" s="157">
        <v>6000</v>
      </c>
      <c r="E44" s="155">
        <v>1</v>
      </c>
      <c r="F44" s="157">
        <f t="shared" si="0"/>
        <v>6000</v>
      </c>
    </row>
    <row r="45" spans="1:6">
      <c r="A45" s="155" t="s">
        <v>378</v>
      </c>
      <c r="B45" s="156">
        <v>43486</v>
      </c>
      <c r="C45" s="155" t="s">
        <v>385</v>
      </c>
      <c r="D45" s="157">
        <v>1800</v>
      </c>
      <c r="E45" s="155">
        <v>1</v>
      </c>
      <c r="F45" s="157">
        <f t="shared" si="0"/>
        <v>1800</v>
      </c>
    </row>
    <row r="46" spans="1:6">
      <c r="A46" s="155" t="s">
        <v>386</v>
      </c>
      <c r="B46" s="156">
        <v>43487</v>
      </c>
      <c r="C46" s="155" t="s">
        <v>382</v>
      </c>
      <c r="D46" s="157">
        <v>200</v>
      </c>
      <c r="E46" s="155">
        <v>2</v>
      </c>
      <c r="F46" s="157">
        <f t="shared" si="0"/>
        <v>400</v>
      </c>
    </row>
    <row r="47" spans="1:6">
      <c r="A47" s="155" t="s">
        <v>380</v>
      </c>
      <c r="B47" s="156">
        <v>43487</v>
      </c>
      <c r="C47" s="155" t="s">
        <v>385</v>
      </c>
      <c r="D47" s="157">
        <v>1800</v>
      </c>
      <c r="E47" s="155">
        <v>4</v>
      </c>
      <c r="F47" s="157">
        <f t="shared" si="0"/>
        <v>7200</v>
      </c>
    </row>
    <row r="48" spans="1:6">
      <c r="A48" s="155" t="s">
        <v>380</v>
      </c>
      <c r="B48" s="156">
        <v>43487</v>
      </c>
      <c r="C48" s="155" t="s">
        <v>382</v>
      </c>
      <c r="D48" s="157">
        <v>200</v>
      </c>
      <c r="E48" s="155">
        <v>2</v>
      </c>
      <c r="F48" s="157">
        <f t="shared" si="0"/>
        <v>400</v>
      </c>
    </row>
    <row r="49" spans="1:6">
      <c r="A49" s="155" t="s">
        <v>386</v>
      </c>
      <c r="B49" s="156">
        <v>43488</v>
      </c>
      <c r="C49" s="155" t="s">
        <v>372</v>
      </c>
      <c r="D49" s="157">
        <v>450</v>
      </c>
      <c r="E49" s="155">
        <v>1</v>
      </c>
      <c r="F49" s="157">
        <f t="shared" si="0"/>
        <v>450</v>
      </c>
    </row>
    <row r="50" spans="1:6">
      <c r="A50" s="155" t="s">
        <v>384</v>
      </c>
      <c r="B50" s="156">
        <v>43488</v>
      </c>
      <c r="C50" s="155" t="s">
        <v>381</v>
      </c>
      <c r="D50" s="157">
        <v>600</v>
      </c>
      <c r="E50" s="155">
        <v>4</v>
      </c>
      <c r="F50" s="157">
        <f t="shared" si="0"/>
        <v>2400</v>
      </c>
    </row>
    <row r="51" spans="1:6">
      <c r="A51" s="155" t="s">
        <v>159</v>
      </c>
      <c r="B51" s="156">
        <v>43489</v>
      </c>
      <c r="C51" s="155" t="s">
        <v>73</v>
      </c>
      <c r="D51" s="157">
        <v>6000</v>
      </c>
      <c r="E51" s="155">
        <v>3</v>
      </c>
      <c r="F51" s="157">
        <f t="shared" si="0"/>
        <v>18000</v>
      </c>
    </row>
    <row r="52" spans="1:6">
      <c r="A52" s="155" t="s">
        <v>386</v>
      </c>
      <c r="B52" s="156">
        <v>43489</v>
      </c>
      <c r="C52" s="155" t="s">
        <v>382</v>
      </c>
      <c r="D52" s="157">
        <v>200</v>
      </c>
      <c r="E52" s="155">
        <v>2</v>
      </c>
      <c r="F52" s="157">
        <f t="shared" si="0"/>
        <v>400</v>
      </c>
    </row>
    <row r="53" spans="1:6">
      <c r="A53" s="155" t="s">
        <v>380</v>
      </c>
      <c r="B53" s="156">
        <v>43490</v>
      </c>
      <c r="C53" s="155" t="s">
        <v>379</v>
      </c>
      <c r="D53" s="157">
        <v>150</v>
      </c>
      <c r="E53" s="155">
        <v>3</v>
      </c>
      <c r="F53" s="157">
        <f t="shared" si="0"/>
        <v>450</v>
      </c>
    </row>
    <row r="54" spans="1:6">
      <c r="A54" s="155" t="s">
        <v>378</v>
      </c>
      <c r="B54" s="156">
        <v>43491</v>
      </c>
      <c r="C54" s="155" t="s">
        <v>379</v>
      </c>
      <c r="D54" s="157">
        <v>150</v>
      </c>
      <c r="E54" s="155">
        <v>2</v>
      </c>
      <c r="F54" s="157">
        <f t="shared" si="0"/>
        <v>300</v>
      </c>
    </row>
    <row r="55" spans="1:6">
      <c r="A55" s="155" t="s">
        <v>159</v>
      </c>
      <c r="B55" s="156">
        <v>43492</v>
      </c>
      <c r="C55" s="155" t="s">
        <v>372</v>
      </c>
      <c r="D55" s="157">
        <v>450</v>
      </c>
      <c r="E55" s="155">
        <v>3</v>
      </c>
      <c r="F55" s="157">
        <f t="shared" si="0"/>
        <v>1350</v>
      </c>
    </row>
    <row r="56" spans="1:6">
      <c r="A56" s="155" t="s">
        <v>383</v>
      </c>
      <c r="B56" s="156">
        <v>43492</v>
      </c>
      <c r="C56" s="155" t="s">
        <v>372</v>
      </c>
      <c r="D56" s="157">
        <v>450</v>
      </c>
      <c r="E56" s="155">
        <v>2</v>
      </c>
      <c r="F56" s="157">
        <f t="shared" si="0"/>
        <v>900</v>
      </c>
    </row>
    <row r="57" spans="1:6">
      <c r="A57" s="155" t="s">
        <v>386</v>
      </c>
      <c r="B57" s="156">
        <v>43492</v>
      </c>
      <c r="C57" s="155" t="s">
        <v>73</v>
      </c>
      <c r="D57" s="157">
        <v>6000</v>
      </c>
      <c r="E57" s="155">
        <v>1</v>
      </c>
      <c r="F57" s="157">
        <f t="shared" si="0"/>
        <v>6000</v>
      </c>
    </row>
    <row r="58" spans="1:6">
      <c r="A58" s="155" t="s">
        <v>384</v>
      </c>
      <c r="B58" s="156">
        <v>43492</v>
      </c>
      <c r="C58" s="155" t="s">
        <v>73</v>
      </c>
      <c r="D58" s="157">
        <v>6000</v>
      </c>
      <c r="E58" s="155">
        <v>2</v>
      </c>
      <c r="F58" s="157">
        <f t="shared" si="0"/>
        <v>12000</v>
      </c>
    </row>
    <row r="59" spans="1:6">
      <c r="A59" s="155" t="s">
        <v>159</v>
      </c>
      <c r="B59" s="156">
        <v>43493</v>
      </c>
      <c r="C59" s="155" t="s">
        <v>385</v>
      </c>
      <c r="D59" s="157">
        <v>1800</v>
      </c>
      <c r="E59" s="155">
        <v>2</v>
      </c>
      <c r="F59" s="157">
        <f t="shared" si="0"/>
        <v>3600</v>
      </c>
    </row>
    <row r="60" spans="1:6">
      <c r="A60" s="155" t="s">
        <v>380</v>
      </c>
      <c r="B60" s="156">
        <v>43493</v>
      </c>
      <c r="C60" s="155" t="s">
        <v>381</v>
      </c>
      <c r="D60" s="157">
        <v>600</v>
      </c>
      <c r="E60" s="155">
        <v>2</v>
      </c>
      <c r="F60" s="157">
        <f t="shared" si="0"/>
        <v>1200</v>
      </c>
    </row>
    <row r="61" spans="1:6">
      <c r="A61" s="155" t="s">
        <v>383</v>
      </c>
      <c r="B61" s="156">
        <v>43494</v>
      </c>
      <c r="C61" s="155" t="s">
        <v>73</v>
      </c>
      <c r="D61" s="157">
        <v>6000</v>
      </c>
      <c r="E61" s="155">
        <v>4</v>
      </c>
      <c r="F61" s="157">
        <f t="shared" si="0"/>
        <v>24000</v>
      </c>
    </row>
    <row r="62" spans="1:6">
      <c r="A62" s="155" t="s">
        <v>384</v>
      </c>
      <c r="B62" s="156">
        <v>43494</v>
      </c>
      <c r="C62" s="155" t="s">
        <v>382</v>
      </c>
      <c r="D62" s="157">
        <v>200</v>
      </c>
      <c r="E62" s="155">
        <v>2</v>
      </c>
      <c r="F62" s="157">
        <f t="shared" si="0"/>
        <v>400</v>
      </c>
    </row>
    <row r="63" spans="1:6">
      <c r="A63" s="155" t="s">
        <v>378</v>
      </c>
      <c r="B63" s="156">
        <v>43495</v>
      </c>
      <c r="C63" s="155" t="s">
        <v>379</v>
      </c>
      <c r="D63" s="157">
        <v>150</v>
      </c>
      <c r="E63" s="155">
        <v>2</v>
      </c>
      <c r="F63" s="157">
        <f t="shared" si="0"/>
        <v>300</v>
      </c>
    </row>
    <row r="64" spans="1:6">
      <c r="A64" s="155" t="s">
        <v>386</v>
      </c>
      <c r="B64" s="156">
        <v>43495</v>
      </c>
      <c r="C64" s="155" t="s">
        <v>390</v>
      </c>
      <c r="D64" s="157">
        <v>300</v>
      </c>
      <c r="E64" s="155">
        <v>1</v>
      </c>
      <c r="F64" s="157">
        <f t="shared" si="0"/>
        <v>300</v>
      </c>
    </row>
    <row r="65" spans="1:6">
      <c r="A65" s="155" t="s">
        <v>380</v>
      </c>
      <c r="B65" s="156">
        <v>43496</v>
      </c>
      <c r="C65" s="155" t="s">
        <v>382</v>
      </c>
      <c r="D65" s="157">
        <v>200</v>
      </c>
      <c r="E65" s="155">
        <v>2</v>
      </c>
      <c r="F65" s="157">
        <f t="shared" si="0"/>
        <v>400</v>
      </c>
    </row>
    <row r="66" spans="1:6">
      <c r="A66" s="155" t="s">
        <v>159</v>
      </c>
      <c r="B66" s="156">
        <v>43496</v>
      </c>
      <c r="C66" s="155" t="s">
        <v>379</v>
      </c>
      <c r="D66" s="157">
        <v>150</v>
      </c>
      <c r="E66" s="155">
        <v>4</v>
      </c>
      <c r="F66" s="157">
        <f t="shared" si="0"/>
        <v>600</v>
      </c>
    </row>
    <row r="67" spans="1:6">
      <c r="A67" s="155" t="s">
        <v>380</v>
      </c>
      <c r="B67" s="156">
        <v>43496</v>
      </c>
      <c r="C67" s="155" t="s">
        <v>385</v>
      </c>
      <c r="D67" s="157">
        <v>1800</v>
      </c>
      <c r="E67" s="155">
        <v>2</v>
      </c>
      <c r="F67" s="157">
        <f t="shared" si="0"/>
        <v>3600</v>
      </c>
    </row>
    <row r="68" spans="1:6">
      <c r="A68" s="155" t="s">
        <v>383</v>
      </c>
      <c r="B68" s="156">
        <v>43497</v>
      </c>
      <c r="C68" s="155" t="s">
        <v>382</v>
      </c>
      <c r="D68" s="157">
        <v>200</v>
      </c>
      <c r="E68" s="155">
        <v>3</v>
      </c>
      <c r="F68" s="157">
        <f t="shared" si="0"/>
        <v>600</v>
      </c>
    </row>
    <row r="69" spans="1:6">
      <c r="A69" s="155" t="s">
        <v>384</v>
      </c>
      <c r="B69" s="156">
        <v>43498</v>
      </c>
      <c r="C69" s="155" t="s">
        <v>379</v>
      </c>
      <c r="D69" s="157">
        <v>150</v>
      </c>
      <c r="E69" s="155">
        <v>4</v>
      </c>
      <c r="F69" s="157">
        <f t="shared" si="0"/>
        <v>600</v>
      </c>
    </row>
    <row r="70" spans="1:6">
      <c r="A70" s="155" t="s">
        <v>384</v>
      </c>
      <c r="B70" s="156">
        <v>43498</v>
      </c>
      <c r="C70" s="155" t="s">
        <v>385</v>
      </c>
      <c r="D70" s="157">
        <v>1800</v>
      </c>
      <c r="E70" s="155">
        <v>3</v>
      </c>
      <c r="F70" s="157">
        <f t="shared" si="0"/>
        <v>5400</v>
      </c>
    </row>
    <row r="71" spans="1:6">
      <c r="A71" s="155" t="s">
        <v>384</v>
      </c>
      <c r="B71" s="156">
        <v>43499</v>
      </c>
      <c r="C71" s="155" t="s">
        <v>385</v>
      </c>
      <c r="D71" s="157">
        <v>1800</v>
      </c>
      <c r="E71" s="155">
        <v>2</v>
      </c>
      <c r="F71" s="157">
        <f t="shared" si="0"/>
        <v>3600</v>
      </c>
    </row>
    <row r="72" spans="1:6">
      <c r="A72" s="155" t="s">
        <v>386</v>
      </c>
      <c r="B72" s="156">
        <v>43501</v>
      </c>
      <c r="C72" s="155" t="s">
        <v>73</v>
      </c>
      <c r="D72" s="157">
        <v>6000</v>
      </c>
      <c r="E72" s="155">
        <v>3</v>
      </c>
      <c r="F72" s="157">
        <f t="shared" si="0"/>
        <v>18000</v>
      </c>
    </row>
    <row r="73" spans="1:6">
      <c r="A73" s="155" t="s">
        <v>386</v>
      </c>
      <c r="B73" s="156">
        <v>43501</v>
      </c>
      <c r="C73" s="155" t="s">
        <v>379</v>
      </c>
      <c r="D73" s="157">
        <v>150</v>
      </c>
      <c r="E73" s="155">
        <v>3</v>
      </c>
      <c r="F73" s="157">
        <f t="shared" ref="F73:F136" si="1">E73*D73</f>
        <v>450</v>
      </c>
    </row>
    <row r="74" spans="1:6">
      <c r="A74" s="155" t="s">
        <v>384</v>
      </c>
      <c r="B74" s="156">
        <v>43501</v>
      </c>
      <c r="C74" s="155" t="s">
        <v>381</v>
      </c>
      <c r="D74" s="157">
        <v>600</v>
      </c>
      <c r="E74" s="155">
        <v>1</v>
      </c>
      <c r="F74" s="157">
        <f t="shared" si="1"/>
        <v>600</v>
      </c>
    </row>
    <row r="75" spans="1:6">
      <c r="A75" s="155" t="s">
        <v>378</v>
      </c>
      <c r="B75" s="156">
        <v>43502</v>
      </c>
      <c r="C75" s="155" t="s">
        <v>390</v>
      </c>
      <c r="D75" s="157">
        <v>300</v>
      </c>
      <c r="E75" s="155">
        <v>4</v>
      </c>
      <c r="F75" s="157">
        <f t="shared" si="1"/>
        <v>1200</v>
      </c>
    </row>
    <row r="76" spans="1:6">
      <c r="A76" s="155" t="s">
        <v>159</v>
      </c>
      <c r="B76" s="156">
        <v>43502</v>
      </c>
      <c r="C76" s="155" t="s">
        <v>385</v>
      </c>
      <c r="D76" s="157">
        <v>1800</v>
      </c>
      <c r="E76" s="155">
        <v>1</v>
      </c>
      <c r="F76" s="157">
        <f t="shared" si="1"/>
        <v>1800</v>
      </c>
    </row>
    <row r="77" spans="1:6">
      <c r="A77" s="155" t="s">
        <v>380</v>
      </c>
      <c r="B77" s="156">
        <v>43503</v>
      </c>
      <c r="C77" s="155" t="s">
        <v>379</v>
      </c>
      <c r="D77" s="157">
        <v>150</v>
      </c>
      <c r="E77" s="155">
        <v>2</v>
      </c>
      <c r="F77" s="157">
        <f t="shared" si="1"/>
        <v>300</v>
      </c>
    </row>
    <row r="78" spans="1:6">
      <c r="A78" s="155" t="s">
        <v>384</v>
      </c>
      <c r="B78" s="156">
        <v>43506</v>
      </c>
      <c r="C78" s="155" t="s">
        <v>385</v>
      </c>
      <c r="D78" s="157">
        <v>1800</v>
      </c>
      <c r="E78" s="155">
        <v>3</v>
      </c>
      <c r="F78" s="157">
        <f t="shared" si="1"/>
        <v>5400</v>
      </c>
    </row>
    <row r="79" spans="1:6">
      <c r="A79" s="155" t="s">
        <v>159</v>
      </c>
      <c r="B79" s="156">
        <v>43507</v>
      </c>
      <c r="C79" s="155" t="s">
        <v>372</v>
      </c>
      <c r="D79" s="157">
        <v>450</v>
      </c>
      <c r="E79" s="155">
        <v>4</v>
      </c>
      <c r="F79" s="157">
        <f t="shared" si="1"/>
        <v>1800</v>
      </c>
    </row>
    <row r="80" spans="1:6">
      <c r="A80" s="155" t="s">
        <v>384</v>
      </c>
      <c r="B80" s="156">
        <v>43507</v>
      </c>
      <c r="C80" s="155" t="s">
        <v>379</v>
      </c>
      <c r="D80" s="157">
        <v>150</v>
      </c>
      <c r="E80" s="155">
        <v>4</v>
      </c>
      <c r="F80" s="157">
        <f t="shared" si="1"/>
        <v>600</v>
      </c>
    </row>
    <row r="81" spans="1:6">
      <c r="A81" s="155" t="s">
        <v>380</v>
      </c>
      <c r="B81" s="156">
        <v>43507</v>
      </c>
      <c r="C81" s="155" t="s">
        <v>372</v>
      </c>
      <c r="D81" s="157">
        <v>450</v>
      </c>
      <c r="E81" s="155">
        <v>2</v>
      </c>
      <c r="F81" s="157">
        <f t="shared" si="1"/>
        <v>900</v>
      </c>
    </row>
    <row r="82" spans="1:6">
      <c r="A82" s="155" t="s">
        <v>380</v>
      </c>
      <c r="B82" s="156">
        <v>43507</v>
      </c>
      <c r="C82" s="155" t="s">
        <v>382</v>
      </c>
      <c r="D82" s="157">
        <v>200</v>
      </c>
      <c r="E82" s="155">
        <v>1</v>
      </c>
      <c r="F82" s="157">
        <f t="shared" si="1"/>
        <v>200</v>
      </c>
    </row>
    <row r="83" spans="1:6">
      <c r="A83" s="155" t="s">
        <v>380</v>
      </c>
      <c r="B83" s="156">
        <v>43507</v>
      </c>
      <c r="C83" s="155" t="s">
        <v>372</v>
      </c>
      <c r="D83" s="157">
        <v>450</v>
      </c>
      <c r="E83" s="155">
        <v>4</v>
      </c>
      <c r="F83" s="157">
        <f t="shared" si="1"/>
        <v>1800</v>
      </c>
    </row>
    <row r="84" spans="1:6">
      <c r="A84" s="155" t="s">
        <v>159</v>
      </c>
      <c r="B84" s="156">
        <v>43507</v>
      </c>
      <c r="C84" s="155" t="s">
        <v>73</v>
      </c>
      <c r="D84" s="157">
        <v>6000</v>
      </c>
      <c r="E84" s="155">
        <v>3</v>
      </c>
      <c r="F84" s="157">
        <f t="shared" si="1"/>
        <v>18000</v>
      </c>
    </row>
    <row r="85" spans="1:6">
      <c r="A85" s="155" t="s">
        <v>378</v>
      </c>
      <c r="B85" s="156">
        <v>43507</v>
      </c>
      <c r="C85" s="155" t="s">
        <v>379</v>
      </c>
      <c r="D85" s="157">
        <v>150</v>
      </c>
      <c r="E85" s="155">
        <v>1</v>
      </c>
      <c r="F85" s="157">
        <f t="shared" si="1"/>
        <v>150</v>
      </c>
    </row>
    <row r="86" spans="1:6">
      <c r="A86" s="155" t="s">
        <v>386</v>
      </c>
      <c r="B86" s="156">
        <v>43508</v>
      </c>
      <c r="C86" s="155" t="s">
        <v>381</v>
      </c>
      <c r="D86" s="157">
        <v>600</v>
      </c>
      <c r="E86" s="155">
        <v>2</v>
      </c>
      <c r="F86" s="157">
        <f t="shared" si="1"/>
        <v>1200</v>
      </c>
    </row>
    <row r="87" spans="1:6">
      <c r="A87" s="155" t="s">
        <v>159</v>
      </c>
      <c r="B87" s="156">
        <v>43508</v>
      </c>
      <c r="C87" s="155" t="s">
        <v>372</v>
      </c>
      <c r="D87" s="157">
        <v>450</v>
      </c>
      <c r="E87" s="155">
        <v>2</v>
      </c>
      <c r="F87" s="157">
        <f t="shared" si="1"/>
        <v>900</v>
      </c>
    </row>
    <row r="88" spans="1:6">
      <c r="A88" s="155" t="s">
        <v>383</v>
      </c>
      <c r="B88" s="156">
        <v>43508</v>
      </c>
      <c r="C88" s="155" t="s">
        <v>381</v>
      </c>
      <c r="D88" s="157">
        <v>600</v>
      </c>
      <c r="E88" s="155">
        <v>1</v>
      </c>
      <c r="F88" s="157">
        <f t="shared" si="1"/>
        <v>600</v>
      </c>
    </row>
    <row r="89" spans="1:6">
      <c r="A89" s="155" t="s">
        <v>384</v>
      </c>
      <c r="B89" s="156">
        <v>43509</v>
      </c>
      <c r="C89" s="155" t="s">
        <v>379</v>
      </c>
      <c r="D89" s="157">
        <v>150</v>
      </c>
      <c r="E89" s="155">
        <v>2</v>
      </c>
      <c r="F89" s="157">
        <f t="shared" si="1"/>
        <v>300</v>
      </c>
    </row>
    <row r="90" spans="1:6">
      <c r="A90" s="155" t="s">
        <v>380</v>
      </c>
      <c r="B90" s="156">
        <v>43510</v>
      </c>
      <c r="C90" s="155" t="s">
        <v>379</v>
      </c>
      <c r="D90" s="157">
        <v>150</v>
      </c>
      <c r="E90" s="155">
        <v>4</v>
      </c>
      <c r="F90" s="157">
        <f t="shared" si="1"/>
        <v>600</v>
      </c>
    </row>
    <row r="91" spans="1:6">
      <c r="A91" s="155" t="s">
        <v>380</v>
      </c>
      <c r="B91" s="156">
        <v>43510</v>
      </c>
      <c r="C91" s="155" t="s">
        <v>372</v>
      </c>
      <c r="D91" s="157">
        <v>450</v>
      </c>
      <c r="E91" s="155">
        <v>4</v>
      </c>
      <c r="F91" s="157">
        <f t="shared" si="1"/>
        <v>1800</v>
      </c>
    </row>
    <row r="92" spans="1:6">
      <c r="A92" s="155" t="s">
        <v>380</v>
      </c>
      <c r="B92" s="156">
        <v>43512</v>
      </c>
      <c r="C92" s="155" t="s">
        <v>372</v>
      </c>
      <c r="D92" s="157">
        <v>450</v>
      </c>
      <c r="E92" s="155">
        <v>2</v>
      </c>
      <c r="F92" s="157">
        <f t="shared" si="1"/>
        <v>900</v>
      </c>
    </row>
    <row r="93" spans="1:6">
      <c r="A93" s="155" t="s">
        <v>378</v>
      </c>
      <c r="B93" s="156">
        <v>43513</v>
      </c>
      <c r="C93" s="155" t="s">
        <v>73</v>
      </c>
      <c r="D93" s="157">
        <v>6000</v>
      </c>
      <c r="E93" s="155">
        <v>2</v>
      </c>
      <c r="F93" s="157">
        <f t="shared" si="1"/>
        <v>12000</v>
      </c>
    </row>
    <row r="94" spans="1:6">
      <c r="A94" s="155" t="s">
        <v>383</v>
      </c>
      <c r="B94" s="156">
        <v>43513</v>
      </c>
      <c r="C94" s="155" t="s">
        <v>385</v>
      </c>
      <c r="D94" s="157">
        <v>1800</v>
      </c>
      <c r="E94" s="155">
        <v>3</v>
      </c>
      <c r="F94" s="157">
        <f t="shared" si="1"/>
        <v>5400</v>
      </c>
    </row>
    <row r="95" spans="1:6">
      <c r="A95" s="155" t="s">
        <v>384</v>
      </c>
      <c r="B95" s="156">
        <v>43513</v>
      </c>
      <c r="C95" s="155" t="s">
        <v>73</v>
      </c>
      <c r="D95" s="157">
        <v>6000</v>
      </c>
      <c r="E95" s="155">
        <v>4</v>
      </c>
      <c r="F95" s="157">
        <f t="shared" si="1"/>
        <v>24000</v>
      </c>
    </row>
    <row r="96" spans="1:6">
      <c r="A96" s="155" t="s">
        <v>159</v>
      </c>
      <c r="B96" s="156">
        <v>43514</v>
      </c>
      <c r="C96" s="155" t="s">
        <v>372</v>
      </c>
      <c r="D96" s="157">
        <v>450</v>
      </c>
      <c r="E96" s="155">
        <v>4</v>
      </c>
      <c r="F96" s="157">
        <f t="shared" si="1"/>
        <v>1800</v>
      </c>
    </row>
    <row r="97" spans="1:6">
      <c r="A97" s="155" t="s">
        <v>159</v>
      </c>
      <c r="B97" s="156">
        <v>43515</v>
      </c>
      <c r="C97" s="155" t="s">
        <v>385</v>
      </c>
      <c r="D97" s="157">
        <v>1800</v>
      </c>
      <c r="E97" s="155">
        <v>4</v>
      </c>
      <c r="F97" s="157">
        <f t="shared" si="1"/>
        <v>7200</v>
      </c>
    </row>
    <row r="98" spans="1:6">
      <c r="A98" s="155" t="s">
        <v>159</v>
      </c>
      <c r="B98" s="156">
        <v>43516</v>
      </c>
      <c r="C98" s="155" t="s">
        <v>372</v>
      </c>
      <c r="D98" s="157">
        <v>450</v>
      </c>
      <c r="E98" s="155">
        <v>3</v>
      </c>
      <c r="F98" s="157">
        <f t="shared" si="1"/>
        <v>1350</v>
      </c>
    </row>
    <row r="99" spans="1:6">
      <c r="A99" s="155" t="s">
        <v>380</v>
      </c>
      <c r="B99" s="156">
        <v>43517</v>
      </c>
      <c r="C99" s="155" t="s">
        <v>372</v>
      </c>
      <c r="D99" s="157">
        <v>450</v>
      </c>
      <c r="E99" s="155">
        <v>4</v>
      </c>
      <c r="F99" s="157">
        <f t="shared" si="1"/>
        <v>1800</v>
      </c>
    </row>
    <row r="100" spans="1:6">
      <c r="A100" s="155" t="s">
        <v>380</v>
      </c>
      <c r="B100" s="156">
        <v>43518</v>
      </c>
      <c r="C100" s="155" t="s">
        <v>390</v>
      </c>
      <c r="D100" s="157">
        <v>300</v>
      </c>
      <c r="E100" s="155">
        <v>3</v>
      </c>
      <c r="F100" s="157">
        <f t="shared" si="1"/>
        <v>900</v>
      </c>
    </row>
    <row r="101" spans="1:6">
      <c r="A101" s="155" t="s">
        <v>380</v>
      </c>
      <c r="B101" s="156">
        <v>43518</v>
      </c>
      <c r="C101" s="155" t="s">
        <v>385</v>
      </c>
      <c r="D101" s="157">
        <v>1800</v>
      </c>
      <c r="E101" s="155">
        <v>3</v>
      </c>
      <c r="F101" s="157">
        <f t="shared" si="1"/>
        <v>5400</v>
      </c>
    </row>
    <row r="102" spans="1:6">
      <c r="A102" s="155" t="s">
        <v>384</v>
      </c>
      <c r="B102" s="156">
        <v>43519</v>
      </c>
      <c r="C102" s="155" t="s">
        <v>372</v>
      </c>
      <c r="D102" s="157">
        <v>450</v>
      </c>
      <c r="E102" s="155">
        <v>3</v>
      </c>
      <c r="F102" s="157">
        <f t="shared" si="1"/>
        <v>1350</v>
      </c>
    </row>
    <row r="103" spans="1:6">
      <c r="A103" s="155" t="s">
        <v>159</v>
      </c>
      <c r="B103" s="156">
        <v>43519</v>
      </c>
      <c r="C103" s="155" t="s">
        <v>372</v>
      </c>
      <c r="D103" s="157">
        <v>450</v>
      </c>
      <c r="E103" s="155">
        <v>1</v>
      </c>
      <c r="F103" s="157">
        <f t="shared" si="1"/>
        <v>450</v>
      </c>
    </row>
    <row r="104" spans="1:6">
      <c r="A104" s="155" t="s">
        <v>378</v>
      </c>
      <c r="B104" s="156">
        <v>43522</v>
      </c>
      <c r="C104" s="155" t="s">
        <v>381</v>
      </c>
      <c r="D104" s="157">
        <v>600</v>
      </c>
      <c r="E104" s="155">
        <v>1</v>
      </c>
      <c r="F104" s="157">
        <f t="shared" si="1"/>
        <v>600</v>
      </c>
    </row>
    <row r="105" spans="1:6">
      <c r="A105" s="155" t="s">
        <v>380</v>
      </c>
      <c r="B105" s="156">
        <v>43523</v>
      </c>
      <c r="C105" s="155" t="s">
        <v>73</v>
      </c>
      <c r="D105" s="157">
        <v>6000</v>
      </c>
      <c r="E105" s="155">
        <v>4</v>
      </c>
      <c r="F105" s="157">
        <f t="shared" si="1"/>
        <v>24000</v>
      </c>
    </row>
    <row r="106" spans="1:6">
      <c r="A106" s="155" t="s">
        <v>378</v>
      </c>
      <c r="B106" s="156">
        <v>43523</v>
      </c>
      <c r="C106" s="155" t="s">
        <v>390</v>
      </c>
      <c r="D106" s="157">
        <v>300</v>
      </c>
      <c r="E106" s="155">
        <v>4</v>
      </c>
      <c r="F106" s="157">
        <f t="shared" si="1"/>
        <v>1200</v>
      </c>
    </row>
    <row r="107" spans="1:6">
      <c r="A107" s="155" t="s">
        <v>380</v>
      </c>
      <c r="B107" s="156">
        <v>43523</v>
      </c>
      <c r="C107" s="155" t="s">
        <v>382</v>
      </c>
      <c r="D107" s="157">
        <v>200</v>
      </c>
      <c r="E107" s="155">
        <v>2</v>
      </c>
      <c r="F107" s="157">
        <f t="shared" si="1"/>
        <v>400</v>
      </c>
    </row>
    <row r="108" spans="1:6">
      <c r="A108" s="155" t="s">
        <v>386</v>
      </c>
      <c r="B108" s="156">
        <v>43523</v>
      </c>
      <c r="C108" s="155" t="s">
        <v>382</v>
      </c>
      <c r="D108" s="157">
        <v>200</v>
      </c>
      <c r="E108" s="155">
        <v>1</v>
      </c>
      <c r="F108" s="157">
        <f t="shared" si="1"/>
        <v>200</v>
      </c>
    </row>
    <row r="109" spans="1:6">
      <c r="A109" s="155" t="s">
        <v>159</v>
      </c>
      <c r="B109" s="156">
        <v>43523</v>
      </c>
      <c r="C109" s="155" t="s">
        <v>385</v>
      </c>
      <c r="D109" s="157">
        <v>1800</v>
      </c>
      <c r="E109" s="155">
        <v>2</v>
      </c>
      <c r="F109" s="157">
        <f t="shared" si="1"/>
        <v>3600</v>
      </c>
    </row>
    <row r="110" spans="1:6">
      <c r="A110" s="155" t="s">
        <v>383</v>
      </c>
      <c r="B110" s="156">
        <v>43524</v>
      </c>
      <c r="C110" s="155" t="s">
        <v>382</v>
      </c>
      <c r="D110" s="157">
        <v>200</v>
      </c>
      <c r="E110" s="155">
        <v>3</v>
      </c>
      <c r="F110" s="157">
        <f t="shared" si="1"/>
        <v>600</v>
      </c>
    </row>
    <row r="111" spans="1:6">
      <c r="A111" s="155" t="s">
        <v>159</v>
      </c>
      <c r="B111" s="156">
        <v>43524</v>
      </c>
      <c r="C111" s="155" t="s">
        <v>379</v>
      </c>
      <c r="D111" s="157">
        <v>150</v>
      </c>
      <c r="E111" s="155">
        <v>2</v>
      </c>
      <c r="F111" s="157">
        <f t="shared" si="1"/>
        <v>300</v>
      </c>
    </row>
    <row r="112" spans="1:6">
      <c r="A112" s="155" t="s">
        <v>159</v>
      </c>
      <c r="B112" s="156">
        <v>43524</v>
      </c>
      <c r="C112" s="155" t="s">
        <v>372</v>
      </c>
      <c r="D112" s="157">
        <v>450</v>
      </c>
      <c r="E112" s="155">
        <v>3</v>
      </c>
      <c r="F112" s="157">
        <f t="shared" si="1"/>
        <v>1350</v>
      </c>
    </row>
    <row r="113" spans="1:6">
      <c r="A113" s="155" t="s">
        <v>159</v>
      </c>
      <c r="B113" s="156">
        <v>43527</v>
      </c>
      <c r="C113" s="155" t="s">
        <v>372</v>
      </c>
      <c r="D113" s="157">
        <v>450</v>
      </c>
      <c r="E113" s="155">
        <v>4</v>
      </c>
      <c r="F113" s="157">
        <f t="shared" si="1"/>
        <v>1800</v>
      </c>
    </row>
    <row r="114" spans="1:6">
      <c r="A114" s="155" t="s">
        <v>159</v>
      </c>
      <c r="B114" s="156">
        <v>43527</v>
      </c>
      <c r="C114" s="155" t="s">
        <v>372</v>
      </c>
      <c r="D114" s="157">
        <v>450</v>
      </c>
      <c r="E114" s="155">
        <v>1</v>
      </c>
      <c r="F114" s="157">
        <f t="shared" si="1"/>
        <v>450</v>
      </c>
    </row>
    <row r="115" spans="1:6">
      <c r="A115" s="155" t="s">
        <v>383</v>
      </c>
      <c r="B115" s="156">
        <v>43527</v>
      </c>
      <c r="C115" s="155" t="s">
        <v>372</v>
      </c>
      <c r="D115" s="157">
        <v>450</v>
      </c>
      <c r="E115" s="155">
        <v>1</v>
      </c>
      <c r="F115" s="157">
        <f t="shared" si="1"/>
        <v>450</v>
      </c>
    </row>
    <row r="116" spans="1:6">
      <c r="A116" s="155" t="s">
        <v>386</v>
      </c>
      <c r="B116" s="156">
        <v>43529</v>
      </c>
      <c r="C116" s="155" t="s">
        <v>381</v>
      </c>
      <c r="D116" s="157">
        <v>600</v>
      </c>
      <c r="E116" s="155">
        <v>1</v>
      </c>
      <c r="F116" s="157">
        <f t="shared" si="1"/>
        <v>600</v>
      </c>
    </row>
    <row r="117" spans="1:6">
      <c r="A117" s="155" t="s">
        <v>380</v>
      </c>
      <c r="B117" s="156">
        <v>43529</v>
      </c>
      <c r="C117" s="155" t="s">
        <v>385</v>
      </c>
      <c r="D117" s="157">
        <v>1800</v>
      </c>
      <c r="E117" s="155">
        <v>3</v>
      </c>
      <c r="F117" s="157">
        <f t="shared" si="1"/>
        <v>5400</v>
      </c>
    </row>
    <row r="118" spans="1:6">
      <c r="A118" s="155" t="s">
        <v>378</v>
      </c>
      <c r="B118" s="156">
        <v>43529</v>
      </c>
      <c r="C118" s="155" t="s">
        <v>372</v>
      </c>
      <c r="D118" s="157">
        <v>450</v>
      </c>
      <c r="E118" s="155">
        <v>4</v>
      </c>
      <c r="F118" s="157">
        <f t="shared" si="1"/>
        <v>1800</v>
      </c>
    </row>
    <row r="119" spans="1:6">
      <c r="A119" s="155" t="s">
        <v>386</v>
      </c>
      <c r="B119" s="156">
        <v>43529</v>
      </c>
      <c r="C119" s="155" t="s">
        <v>385</v>
      </c>
      <c r="D119" s="157">
        <v>1800</v>
      </c>
      <c r="E119" s="155">
        <v>4</v>
      </c>
      <c r="F119" s="157">
        <f t="shared" si="1"/>
        <v>7200</v>
      </c>
    </row>
    <row r="120" spans="1:6">
      <c r="A120" s="155" t="s">
        <v>386</v>
      </c>
      <c r="B120" s="156">
        <v>43529</v>
      </c>
      <c r="C120" s="155" t="s">
        <v>379</v>
      </c>
      <c r="D120" s="157">
        <v>150</v>
      </c>
      <c r="E120" s="155">
        <v>1</v>
      </c>
      <c r="F120" s="157">
        <f t="shared" si="1"/>
        <v>150</v>
      </c>
    </row>
    <row r="121" spans="1:6">
      <c r="A121" s="155" t="s">
        <v>159</v>
      </c>
      <c r="B121" s="156">
        <v>43530</v>
      </c>
      <c r="C121" s="155" t="s">
        <v>382</v>
      </c>
      <c r="D121" s="157">
        <v>200</v>
      </c>
      <c r="E121" s="155">
        <v>4</v>
      </c>
      <c r="F121" s="157">
        <f t="shared" si="1"/>
        <v>800</v>
      </c>
    </row>
    <row r="122" spans="1:6">
      <c r="A122" s="155" t="s">
        <v>380</v>
      </c>
      <c r="B122" s="156">
        <v>43530</v>
      </c>
      <c r="C122" s="155" t="s">
        <v>379</v>
      </c>
      <c r="D122" s="157">
        <v>150</v>
      </c>
      <c r="E122" s="155">
        <v>1</v>
      </c>
      <c r="F122" s="157">
        <f t="shared" si="1"/>
        <v>150</v>
      </c>
    </row>
    <row r="123" spans="1:6">
      <c r="A123" s="155" t="s">
        <v>383</v>
      </c>
      <c r="B123" s="156">
        <v>43531</v>
      </c>
      <c r="C123" s="155" t="s">
        <v>381</v>
      </c>
      <c r="D123" s="157">
        <v>600</v>
      </c>
      <c r="E123" s="155">
        <v>1</v>
      </c>
      <c r="F123" s="157">
        <f t="shared" si="1"/>
        <v>600</v>
      </c>
    </row>
    <row r="124" spans="1:6">
      <c r="A124" s="155" t="s">
        <v>378</v>
      </c>
      <c r="B124" s="156">
        <v>43531</v>
      </c>
      <c r="C124" s="155" t="s">
        <v>381</v>
      </c>
      <c r="D124" s="157">
        <v>600</v>
      </c>
      <c r="E124" s="155">
        <v>2</v>
      </c>
      <c r="F124" s="157">
        <f t="shared" si="1"/>
        <v>1200</v>
      </c>
    </row>
    <row r="125" spans="1:6">
      <c r="A125" s="155" t="s">
        <v>386</v>
      </c>
      <c r="B125" s="156">
        <v>43531</v>
      </c>
      <c r="C125" s="155" t="s">
        <v>390</v>
      </c>
      <c r="D125" s="157">
        <v>300</v>
      </c>
      <c r="E125" s="155">
        <v>1</v>
      </c>
      <c r="F125" s="157">
        <f t="shared" si="1"/>
        <v>300</v>
      </c>
    </row>
    <row r="126" spans="1:6">
      <c r="A126" s="155" t="s">
        <v>383</v>
      </c>
      <c r="B126" s="156">
        <v>43531</v>
      </c>
      <c r="C126" s="155" t="s">
        <v>381</v>
      </c>
      <c r="D126" s="157">
        <v>600</v>
      </c>
      <c r="E126" s="155">
        <v>3</v>
      </c>
      <c r="F126" s="157">
        <f t="shared" si="1"/>
        <v>1800</v>
      </c>
    </row>
    <row r="127" spans="1:6">
      <c r="A127" s="155" t="s">
        <v>386</v>
      </c>
      <c r="B127" s="156">
        <v>43531</v>
      </c>
      <c r="C127" s="155" t="s">
        <v>73</v>
      </c>
      <c r="D127" s="157">
        <v>6000</v>
      </c>
      <c r="E127" s="155">
        <v>1</v>
      </c>
      <c r="F127" s="157">
        <f t="shared" si="1"/>
        <v>6000</v>
      </c>
    </row>
    <row r="128" spans="1:6">
      <c r="A128" s="155" t="s">
        <v>384</v>
      </c>
      <c r="B128" s="156">
        <v>43531</v>
      </c>
      <c r="C128" s="155" t="s">
        <v>379</v>
      </c>
      <c r="D128" s="157">
        <v>150</v>
      </c>
      <c r="E128" s="155">
        <v>2</v>
      </c>
      <c r="F128" s="157">
        <f t="shared" si="1"/>
        <v>300</v>
      </c>
    </row>
    <row r="129" spans="1:6">
      <c r="A129" s="155" t="s">
        <v>378</v>
      </c>
      <c r="B129" s="156">
        <v>43531</v>
      </c>
      <c r="C129" s="155" t="s">
        <v>379</v>
      </c>
      <c r="D129" s="157">
        <v>150</v>
      </c>
      <c r="E129" s="155">
        <v>1</v>
      </c>
      <c r="F129" s="157">
        <f t="shared" si="1"/>
        <v>150</v>
      </c>
    </row>
    <row r="130" spans="1:6">
      <c r="A130" s="155" t="s">
        <v>378</v>
      </c>
      <c r="B130" s="156">
        <v>43532</v>
      </c>
      <c r="C130" s="155" t="s">
        <v>379</v>
      </c>
      <c r="D130" s="157">
        <v>150</v>
      </c>
      <c r="E130" s="155">
        <v>4</v>
      </c>
      <c r="F130" s="157">
        <f t="shared" si="1"/>
        <v>600</v>
      </c>
    </row>
    <row r="131" spans="1:6">
      <c r="A131" s="155" t="s">
        <v>383</v>
      </c>
      <c r="B131" s="156">
        <v>43533</v>
      </c>
      <c r="C131" s="155" t="s">
        <v>382</v>
      </c>
      <c r="D131" s="157">
        <v>200</v>
      </c>
      <c r="E131" s="155">
        <v>1</v>
      </c>
      <c r="F131" s="157">
        <f t="shared" si="1"/>
        <v>200</v>
      </c>
    </row>
    <row r="132" spans="1:6">
      <c r="A132" s="155" t="s">
        <v>386</v>
      </c>
      <c r="B132" s="156">
        <v>43534</v>
      </c>
      <c r="C132" s="155" t="s">
        <v>372</v>
      </c>
      <c r="D132" s="157">
        <v>450</v>
      </c>
      <c r="E132" s="155">
        <v>1</v>
      </c>
      <c r="F132" s="157">
        <f t="shared" si="1"/>
        <v>450</v>
      </c>
    </row>
    <row r="133" spans="1:6">
      <c r="A133" s="155" t="s">
        <v>383</v>
      </c>
      <c r="B133" s="156">
        <v>43534</v>
      </c>
      <c r="C133" s="155" t="s">
        <v>385</v>
      </c>
      <c r="D133" s="157">
        <v>1800</v>
      </c>
      <c r="E133" s="155">
        <v>4</v>
      </c>
      <c r="F133" s="157">
        <f t="shared" si="1"/>
        <v>7200</v>
      </c>
    </row>
    <row r="134" spans="1:6">
      <c r="A134" s="155" t="s">
        <v>159</v>
      </c>
      <c r="B134" s="156">
        <v>43535</v>
      </c>
      <c r="C134" s="155" t="s">
        <v>381</v>
      </c>
      <c r="D134" s="157">
        <v>600</v>
      </c>
      <c r="E134" s="155">
        <v>1</v>
      </c>
      <c r="F134" s="157">
        <f t="shared" si="1"/>
        <v>600</v>
      </c>
    </row>
    <row r="135" spans="1:6">
      <c r="A135" s="155" t="s">
        <v>159</v>
      </c>
      <c r="B135" s="156">
        <v>43535</v>
      </c>
      <c r="C135" s="155" t="s">
        <v>372</v>
      </c>
      <c r="D135" s="157">
        <v>450</v>
      </c>
      <c r="E135" s="155">
        <v>3</v>
      </c>
      <c r="F135" s="157">
        <f t="shared" si="1"/>
        <v>1350</v>
      </c>
    </row>
    <row r="136" spans="1:6">
      <c r="A136" s="155" t="s">
        <v>380</v>
      </c>
      <c r="B136" s="156">
        <v>43535</v>
      </c>
      <c r="C136" s="155" t="s">
        <v>381</v>
      </c>
      <c r="D136" s="157">
        <v>600</v>
      </c>
      <c r="E136" s="155">
        <v>4</v>
      </c>
      <c r="F136" s="157">
        <f t="shared" si="1"/>
        <v>2400</v>
      </c>
    </row>
    <row r="137" spans="1:6">
      <c r="A137" s="155" t="s">
        <v>384</v>
      </c>
      <c r="B137" s="156">
        <v>43536</v>
      </c>
      <c r="C137" s="155" t="s">
        <v>379</v>
      </c>
      <c r="D137" s="157">
        <v>150</v>
      </c>
      <c r="E137" s="155">
        <v>3</v>
      </c>
      <c r="F137" s="157">
        <f t="shared" ref="F137:F200" si="2">E137*D137</f>
        <v>450</v>
      </c>
    </row>
    <row r="138" spans="1:6">
      <c r="A138" s="155" t="s">
        <v>386</v>
      </c>
      <c r="B138" s="156">
        <v>43536</v>
      </c>
      <c r="C138" s="155" t="s">
        <v>385</v>
      </c>
      <c r="D138" s="157">
        <v>1800</v>
      </c>
      <c r="E138" s="155">
        <v>4</v>
      </c>
      <c r="F138" s="157">
        <f t="shared" si="2"/>
        <v>7200</v>
      </c>
    </row>
    <row r="139" spans="1:6">
      <c r="A139" s="155" t="s">
        <v>386</v>
      </c>
      <c r="B139" s="156">
        <v>43537</v>
      </c>
      <c r="C139" s="155" t="s">
        <v>379</v>
      </c>
      <c r="D139" s="157">
        <v>150</v>
      </c>
      <c r="E139" s="155">
        <v>3</v>
      </c>
      <c r="F139" s="157">
        <f t="shared" si="2"/>
        <v>450</v>
      </c>
    </row>
    <row r="140" spans="1:6">
      <c r="A140" s="155" t="s">
        <v>378</v>
      </c>
      <c r="B140" s="156">
        <v>43537</v>
      </c>
      <c r="C140" s="155" t="s">
        <v>390</v>
      </c>
      <c r="D140" s="157">
        <v>300</v>
      </c>
      <c r="E140" s="155">
        <v>1</v>
      </c>
      <c r="F140" s="157">
        <f t="shared" si="2"/>
        <v>300</v>
      </c>
    </row>
    <row r="141" spans="1:6">
      <c r="A141" s="155" t="s">
        <v>378</v>
      </c>
      <c r="B141" s="156">
        <v>43537</v>
      </c>
      <c r="C141" s="155" t="s">
        <v>390</v>
      </c>
      <c r="D141" s="157">
        <v>300</v>
      </c>
      <c r="E141" s="155">
        <v>1</v>
      </c>
      <c r="F141" s="157">
        <f t="shared" si="2"/>
        <v>300</v>
      </c>
    </row>
    <row r="142" spans="1:6">
      <c r="A142" s="155" t="s">
        <v>386</v>
      </c>
      <c r="B142" s="156">
        <v>43538</v>
      </c>
      <c r="C142" s="155" t="s">
        <v>381</v>
      </c>
      <c r="D142" s="157">
        <v>600</v>
      </c>
      <c r="E142" s="155">
        <v>3</v>
      </c>
      <c r="F142" s="157">
        <f t="shared" si="2"/>
        <v>1800</v>
      </c>
    </row>
    <row r="143" spans="1:6">
      <c r="A143" s="155" t="s">
        <v>378</v>
      </c>
      <c r="B143" s="156">
        <v>43538</v>
      </c>
      <c r="C143" s="155" t="s">
        <v>390</v>
      </c>
      <c r="D143" s="157">
        <v>300</v>
      </c>
      <c r="E143" s="155">
        <v>4</v>
      </c>
      <c r="F143" s="157">
        <f t="shared" si="2"/>
        <v>1200</v>
      </c>
    </row>
    <row r="144" spans="1:6">
      <c r="A144" s="155" t="s">
        <v>384</v>
      </c>
      <c r="B144" s="156">
        <v>43539</v>
      </c>
      <c r="C144" s="155" t="s">
        <v>73</v>
      </c>
      <c r="D144" s="157">
        <v>6000</v>
      </c>
      <c r="E144" s="155">
        <v>2</v>
      </c>
      <c r="F144" s="157">
        <f t="shared" si="2"/>
        <v>12000</v>
      </c>
    </row>
    <row r="145" spans="1:6">
      <c r="A145" s="155" t="s">
        <v>386</v>
      </c>
      <c r="B145" s="156">
        <v>43539</v>
      </c>
      <c r="C145" s="155" t="s">
        <v>381</v>
      </c>
      <c r="D145" s="157">
        <v>600</v>
      </c>
      <c r="E145" s="155">
        <v>3</v>
      </c>
      <c r="F145" s="157">
        <f t="shared" si="2"/>
        <v>1800</v>
      </c>
    </row>
    <row r="146" spans="1:6">
      <c r="A146" s="155" t="s">
        <v>378</v>
      </c>
      <c r="B146" s="156">
        <v>43540</v>
      </c>
      <c r="C146" s="155" t="s">
        <v>390</v>
      </c>
      <c r="D146" s="157">
        <v>300</v>
      </c>
      <c r="E146" s="155">
        <v>4</v>
      </c>
      <c r="F146" s="157">
        <f t="shared" si="2"/>
        <v>1200</v>
      </c>
    </row>
    <row r="147" spans="1:6">
      <c r="A147" s="155" t="s">
        <v>383</v>
      </c>
      <c r="B147" s="156">
        <v>43541</v>
      </c>
      <c r="C147" s="155" t="s">
        <v>381</v>
      </c>
      <c r="D147" s="157">
        <v>600</v>
      </c>
      <c r="E147" s="155">
        <v>4</v>
      </c>
      <c r="F147" s="157">
        <f t="shared" si="2"/>
        <v>2400</v>
      </c>
    </row>
    <row r="148" spans="1:6">
      <c r="A148" s="155" t="s">
        <v>383</v>
      </c>
      <c r="B148" s="156">
        <v>43541</v>
      </c>
      <c r="C148" s="155" t="s">
        <v>381</v>
      </c>
      <c r="D148" s="157">
        <v>600</v>
      </c>
      <c r="E148" s="155">
        <v>3</v>
      </c>
      <c r="F148" s="157">
        <f t="shared" si="2"/>
        <v>1800</v>
      </c>
    </row>
    <row r="149" spans="1:6">
      <c r="A149" s="155" t="s">
        <v>380</v>
      </c>
      <c r="B149" s="156">
        <v>43542</v>
      </c>
      <c r="C149" s="155" t="s">
        <v>372</v>
      </c>
      <c r="D149" s="157">
        <v>450</v>
      </c>
      <c r="E149" s="155">
        <v>2</v>
      </c>
      <c r="F149" s="157">
        <f t="shared" si="2"/>
        <v>900</v>
      </c>
    </row>
    <row r="150" spans="1:6">
      <c r="A150" s="155" t="s">
        <v>378</v>
      </c>
      <c r="B150" s="156">
        <v>43542</v>
      </c>
      <c r="C150" s="155" t="s">
        <v>73</v>
      </c>
      <c r="D150" s="157">
        <v>6000</v>
      </c>
      <c r="E150" s="155">
        <v>4</v>
      </c>
      <c r="F150" s="157">
        <f t="shared" si="2"/>
        <v>24000</v>
      </c>
    </row>
    <row r="151" spans="1:6">
      <c r="A151" s="155" t="s">
        <v>159</v>
      </c>
      <c r="B151" s="156">
        <v>43542</v>
      </c>
      <c r="C151" s="155" t="s">
        <v>73</v>
      </c>
      <c r="D151" s="157">
        <v>6000</v>
      </c>
      <c r="E151" s="155">
        <v>1</v>
      </c>
      <c r="F151" s="157">
        <f t="shared" si="2"/>
        <v>6000</v>
      </c>
    </row>
    <row r="152" spans="1:6">
      <c r="A152" s="155" t="s">
        <v>386</v>
      </c>
      <c r="B152" s="156">
        <v>43543</v>
      </c>
      <c r="C152" s="155" t="s">
        <v>379</v>
      </c>
      <c r="D152" s="157">
        <v>150</v>
      </c>
      <c r="E152" s="155">
        <v>1</v>
      </c>
      <c r="F152" s="157">
        <f t="shared" si="2"/>
        <v>150</v>
      </c>
    </row>
    <row r="153" spans="1:6">
      <c r="A153" s="155" t="s">
        <v>383</v>
      </c>
      <c r="B153" s="156">
        <v>43543</v>
      </c>
      <c r="C153" s="155" t="s">
        <v>390</v>
      </c>
      <c r="D153" s="157">
        <v>300</v>
      </c>
      <c r="E153" s="155">
        <v>2</v>
      </c>
      <c r="F153" s="157">
        <f t="shared" si="2"/>
        <v>600</v>
      </c>
    </row>
    <row r="154" spans="1:6">
      <c r="A154" s="155" t="s">
        <v>384</v>
      </c>
      <c r="B154" s="156">
        <v>43545</v>
      </c>
      <c r="C154" s="155" t="s">
        <v>385</v>
      </c>
      <c r="D154" s="157">
        <v>1800</v>
      </c>
      <c r="E154" s="155">
        <v>2</v>
      </c>
      <c r="F154" s="157">
        <f t="shared" si="2"/>
        <v>3600</v>
      </c>
    </row>
    <row r="155" spans="1:6">
      <c r="A155" s="155" t="s">
        <v>378</v>
      </c>
      <c r="B155" s="156">
        <v>43546</v>
      </c>
      <c r="C155" s="155" t="s">
        <v>379</v>
      </c>
      <c r="D155" s="157">
        <v>150</v>
      </c>
      <c r="E155" s="155">
        <v>4</v>
      </c>
      <c r="F155" s="157">
        <f t="shared" si="2"/>
        <v>600</v>
      </c>
    </row>
    <row r="156" spans="1:6">
      <c r="A156" s="155" t="s">
        <v>159</v>
      </c>
      <c r="B156" s="156">
        <v>43546</v>
      </c>
      <c r="C156" s="155" t="s">
        <v>372</v>
      </c>
      <c r="D156" s="157">
        <v>450</v>
      </c>
      <c r="E156" s="155">
        <v>2</v>
      </c>
      <c r="F156" s="157">
        <f t="shared" si="2"/>
        <v>900</v>
      </c>
    </row>
    <row r="157" spans="1:6">
      <c r="A157" s="155" t="s">
        <v>386</v>
      </c>
      <c r="B157" s="156">
        <v>43547</v>
      </c>
      <c r="C157" s="155" t="s">
        <v>381</v>
      </c>
      <c r="D157" s="157">
        <v>600</v>
      </c>
      <c r="E157" s="155">
        <v>3</v>
      </c>
      <c r="F157" s="157">
        <f t="shared" si="2"/>
        <v>1800</v>
      </c>
    </row>
    <row r="158" spans="1:6">
      <c r="A158" s="155" t="s">
        <v>159</v>
      </c>
      <c r="B158" s="156">
        <v>43548</v>
      </c>
      <c r="C158" s="155" t="s">
        <v>385</v>
      </c>
      <c r="D158" s="157">
        <v>1800</v>
      </c>
      <c r="E158" s="155">
        <v>3</v>
      </c>
      <c r="F158" s="157">
        <f t="shared" si="2"/>
        <v>5400</v>
      </c>
    </row>
    <row r="159" spans="1:6">
      <c r="A159" s="155" t="s">
        <v>386</v>
      </c>
      <c r="B159" s="156">
        <v>43550</v>
      </c>
      <c r="C159" s="155" t="s">
        <v>385</v>
      </c>
      <c r="D159" s="157">
        <v>1800</v>
      </c>
      <c r="E159" s="155">
        <v>4</v>
      </c>
      <c r="F159" s="157">
        <f t="shared" si="2"/>
        <v>7200</v>
      </c>
    </row>
    <row r="160" spans="1:6">
      <c r="A160" s="155" t="s">
        <v>383</v>
      </c>
      <c r="B160" s="156">
        <v>43550</v>
      </c>
      <c r="C160" s="155" t="s">
        <v>390</v>
      </c>
      <c r="D160" s="157">
        <v>300</v>
      </c>
      <c r="E160" s="155">
        <v>2</v>
      </c>
      <c r="F160" s="157">
        <f t="shared" si="2"/>
        <v>600</v>
      </c>
    </row>
    <row r="161" spans="1:6">
      <c r="A161" s="155" t="s">
        <v>383</v>
      </c>
      <c r="B161" s="156">
        <v>43551</v>
      </c>
      <c r="C161" s="155" t="s">
        <v>381</v>
      </c>
      <c r="D161" s="157">
        <v>600</v>
      </c>
      <c r="E161" s="155">
        <v>2</v>
      </c>
      <c r="F161" s="157">
        <f t="shared" si="2"/>
        <v>1200</v>
      </c>
    </row>
    <row r="162" spans="1:6">
      <c r="A162" s="155" t="s">
        <v>386</v>
      </c>
      <c r="B162" s="156">
        <v>43551</v>
      </c>
      <c r="C162" s="155" t="s">
        <v>379</v>
      </c>
      <c r="D162" s="157">
        <v>150</v>
      </c>
      <c r="E162" s="155">
        <v>4</v>
      </c>
      <c r="F162" s="157">
        <f t="shared" si="2"/>
        <v>600</v>
      </c>
    </row>
    <row r="163" spans="1:6">
      <c r="A163" s="155" t="s">
        <v>380</v>
      </c>
      <c r="B163" s="156">
        <v>43552</v>
      </c>
      <c r="C163" s="155" t="s">
        <v>381</v>
      </c>
      <c r="D163" s="157">
        <v>600</v>
      </c>
      <c r="E163" s="155">
        <v>1</v>
      </c>
      <c r="F163" s="157">
        <f t="shared" si="2"/>
        <v>600</v>
      </c>
    </row>
    <row r="164" spans="1:6">
      <c r="A164" s="155" t="s">
        <v>383</v>
      </c>
      <c r="B164" s="156">
        <v>43552</v>
      </c>
      <c r="C164" s="155" t="s">
        <v>73</v>
      </c>
      <c r="D164" s="157">
        <v>6000</v>
      </c>
      <c r="E164" s="155">
        <v>2</v>
      </c>
      <c r="F164" s="157">
        <f t="shared" si="2"/>
        <v>12000</v>
      </c>
    </row>
    <row r="165" spans="1:6">
      <c r="A165" s="155" t="s">
        <v>386</v>
      </c>
      <c r="B165" s="156">
        <v>43553</v>
      </c>
      <c r="C165" s="155" t="s">
        <v>385</v>
      </c>
      <c r="D165" s="157">
        <v>1800</v>
      </c>
      <c r="E165" s="155">
        <v>4</v>
      </c>
      <c r="F165" s="157">
        <f t="shared" si="2"/>
        <v>7200</v>
      </c>
    </row>
    <row r="166" spans="1:6">
      <c r="A166" s="155" t="s">
        <v>386</v>
      </c>
      <c r="B166" s="156">
        <v>43553</v>
      </c>
      <c r="C166" s="155" t="s">
        <v>390</v>
      </c>
      <c r="D166" s="157">
        <v>300</v>
      </c>
      <c r="E166" s="155">
        <v>4</v>
      </c>
      <c r="F166" s="157">
        <f t="shared" si="2"/>
        <v>1200</v>
      </c>
    </row>
    <row r="167" spans="1:6">
      <c r="A167" s="155" t="s">
        <v>386</v>
      </c>
      <c r="B167" s="156">
        <v>43553</v>
      </c>
      <c r="C167" s="155" t="s">
        <v>381</v>
      </c>
      <c r="D167" s="157">
        <v>600</v>
      </c>
      <c r="E167" s="155">
        <v>4</v>
      </c>
      <c r="F167" s="157">
        <f t="shared" si="2"/>
        <v>2400</v>
      </c>
    </row>
    <row r="168" spans="1:6">
      <c r="A168" s="155" t="s">
        <v>383</v>
      </c>
      <c r="B168" s="156">
        <v>43553</v>
      </c>
      <c r="C168" s="155" t="s">
        <v>379</v>
      </c>
      <c r="D168" s="157">
        <v>150</v>
      </c>
      <c r="E168" s="155">
        <v>3</v>
      </c>
      <c r="F168" s="157">
        <f t="shared" si="2"/>
        <v>450</v>
      </c>
    </row>
    <row r="169" spans="1:6">
      <c r="A169" s="155" t="s">
        <v>378</v>
      </c>
      <c r="B169" s="156">
        <v>43553</v>
      </c>
      <c r="C169" s="155" t="s">
        <v>390</v>
      </c>
      <c r="D169" s="157">
        <v>300</v>
      </c>
      <c r="E169" s="155">
        <v>3</v>
      </c>
      <c r="F169" s="157">
        <f t="shared" si="2"/>
        <v>900</v>
      </c>
    </row>
    <row r="170" spans="1:6">
      <c r="A170" s="155" t="s">
        <v>386</v>
      </c>
      <c r="B170" s="156">
        <v>43554</v>
      </c>
      <c r="C170" s="155" t="s">
        <v>385</v>
      </c>
      <c r="D170" s="157">
        <v>1800</v>
      </c>
      <c r="E170" s="155">
        <v>3</v>
      </c>
      <c r="F170" s="157">
        <f t="shared" si="2"/>
        <v>5400</v>
      </c>
    </row>
    <row r="171" spans="1:6">
      <c r="A171" s="155" t="s">
        <v>384</v>
      </c>
      <c r="B171" s="156">
        <v>43554</v>
      </c>
      <c r="C171" s="155" t="s">
        <v>381</v>
      </c>
      <c r="D171" s="157">
        <v>600</v>
      </c>
      <c r="E171" s="155">
        <v>4</v>
      </c>
      <c r="F171" s="157">
        <f t="shared" si="2"/>
        <v>2400</v>
      </c>
    </row>
    <row r="172" spans="1:6">
      <c r="A172" s="155" t="s">
        <v>384</v>
      </c>
      <c r="B172" s="156">
        <v>43554</v>
      </c>
      <c r="C172" s="155" t="s">
        <v>381</v>
      </c>
      <c r="D172" s="157">
        <v>600</v>
      </c>
      <c r="E172" s="155">
        <v>4</v>
      </c>
      <c r="F172" s="157">
        <f t="shared" si="2"/>
        <v>2400</v>
      </c>
    </row>
    <row r="173" spans="1:6">
      <c r="A173" s="155" t="s">
        <v>386</v>
      </c>
      <c r="B173" s="156">
        <v>43555</v>
      </c>
      <c r="C173" s="155" t="s">
        <v>379</v>
      </c>
      <c r="D173" s="157">
        <v>150</v>
      </c>
      <c r="E173" s="155">
        <v>3</v>
      </c>
      <c r="F173" s="157">
        <f t="shared" si="2"/>
        <v>450</v>
      </c>
    </row>
    <row r="174" spans="1:6">
      <c r="A174" s="155" t="s">
        <v>380</v>
      </c>
      <c r="B174" s="156">
        <v>43556</v>
      </c>
      <c r="C174" s="155" t="s">
        <v>381</v>
      </c>
      <c r="D174" s="157">
        <v>600</v>
      </c>
      <c r="E174" s="155">
        <v>1</v>
      </c>
      <c r="F174" s="157">
        <f t="shared" si="2"/>
        <v>600</v>
      </c>
    </row>
    <row r="175" spans="1:6">
      <c r="A175" s="155" t="s">
        <v>386</v>
      </c>
      <c r="B175" s="156">
        <v>43556</v>
      </c>
      <c r="C175" s="155" t="s">
        <v>385</v>
      </c>
      <c r="D175" s="157">
        <v>1800</v>
      </c>
      <c r="E175" s="155">
        <v>2</v>
      </c>
      <c r="F175" s="157">
        <f t="shared" si="2"/>
        <v>3600</v>
      </c>
    </row>
    <row r="176" spans="1:6">
      <c r="A176" s="155" t="s">
        <v>380</v>
      </c>
      <c r="B176" s="156">
        <v>43557</v>
      </c>
      <c r="C176" s="155" t="s">
        <v>73</v>
      </c>
      <c r="D176" s="157">
        <v>6000</v>
      </c>
      <c r="E176" s="155">
        <v>2</v>
      </c>
      <c r="F176" s="157">
        <f t="shared" si="2"/>
        <v>12000</v>
      </c>
    </row>
    <row r="177" spans="1:6">
      <c r="A177" s="155" t="s">
        <v>383</v>
      </c>
      <c r="B177" s="156">
        <v>43557</v>
      </c>
      <c r="C177" s="155" t="s">
        <v>379</v>
      </c>
      <c r="D177" s="157">
        <v>150</v>
      </c>
      <c r="E177" s="155">
        <v>1</v>
      </c>
      <c r="F177" s="157">
        <f t="shared" si="2"/>
        <v>150</v>
      </c>
    </row>
    <row r="178" spans="1:6">
      <c r="A178" s="155" t="s">
        <v>386</v>
      </c>
      <c r="B178" s="156">
        <v>43558</v>
      </c>
      <c r="C178" s="155" t="s">
        <v>379</v>
      </c>
      <c r="D178" s="157">
        <v>150</v>
      </c>
      <c r="E178" s="155">
        <v>4</v>
      </c>
      <c r="F178" s="157">
        <f t="shared" si="2"/>
        <v>600</v>
      </c>
    </row>
    <row r="179" spans="1:6">
      <c r="A179" s="155" t="s">
        <v>159</v>
      </c>
      <c r="B179" s="156">
        <v>43558</v>
      </c>
      <c r="C179" s="155" t="s">
        <v>379</v>
      </c>
      <c r="D179" s="157">
        <v>150</v>
      </c>
      <c r="E179" s="155">
        <v>3</v>
      </c>
      <c r="F179" s="157">
        <f t="shared" si="2"/>
        <v>450</v>
      </c>
    </row>
    <row r="180" spans="1:6">
      <c r="A180" s="155" t="s">
        <v>386</v>
      </c>
      <c r="B180" s="156">
        <v>43558</v>
      </c>
      <c r="C180" s="155" t="s">
        <v>73</v>
      </c>
      <c r="D180" s="157">
        <v>6000</v>
      </c>
      <c r="E180" s="155">
        <v>2</v>
      </c>
      <c r="F180" s="157">
        <f t="shared" si="2"/>
        <v>12000</v>
      </c>
    </row>
    <row r="181" spans="1:6">
      <c r="A181" s="155" t="s">
        <v>384</v>
      </c>
      <c r="B181" s="156">
        <v>43559</v>
      </c>
      <c r="C181" s="155" t="s">
        <v>73</v>
      </c>
      <c r="D181" s="157">
        <v>6000</v>
      </c>
      <c r="E181" s="155">
        <v>2</v>
      </c>
      <c r="F181" s="157">
        <f t="shared" si="2"/>
        <v>12000</v>
      </c>
    </row>
    <row r="182" spans="1:6">
      <c r="A182" s="155" t="s">
        <v>378</v>
      </c>
      <c r="B182" s="156">
        <v>43559</v>
      </c>
      <c r="C182" s="155" t="s">
        <v>379</v>
      </c>
      <c r="D182" s="157">
        <v>150</v>
      </c>
      <c r="E182" s="155">
        <v>1</v>
      </c>
      <c r="F182" s="157">
        <f t="shared" si="2"/>
        <v>150</v>
      </c>
    </row>
    <row r="183" spans="1:6">
      <c r="A183" s="155" t="s">
        <v>159</v>
      </c>
      <c r="B183" s="156">
        <v>43559</v>
      </c>
      <c r="C183" s="155" t="s">
        <v>73</v>
      </c>
      <c r="D183" s="157">
        <v>6000</v>
      </c>
      <c r="E183" s="155">
        <v>1</v>
      </c>
      <c r="F183" s="157">
        <f t="shared" si="2"/>
        <v>6000</v>
      </c>
    </row>
    <row r="184" spans="1:6">
      <c r="A184" s="155" t="s">
        <v>386</v>
      </c>
      <c r="B184" s="156">
        <v>43560</v>
      </c>
      <c r="C184" s="155" t="s">
        <v>390</v>
      </c>
      <c r="D184" s="157">
        <v>300</v>
      </c>
      <c r="E184" s="155">
        <v>3</v>
      </c>
      <c r="F184" s="157">
        <f t="shared" si="2"/>
        <v>900</v>
      </c>
    </row>
    <row r="185" spans="1:6">
      <c r="A185" s="155" t="s">
        <v>380</v>
      </c>
      <c r="B185" s="156">
        <v>43560</v>
      </c>
      <c r="C185" s="155" t="s">
        <v>379</v>
      </c>
      <c r="D185" s="157">
        <v>150</v>
      </c>
      <c r="E185" s="155">
        <v>3</v>
      </c>
      <c r="F185" s="157">
        <f t="shared" si="2"/>
        <v>450</v>
      </c>
    </row>
    <row r="186" spans="1:6">
      <c r="A186" s="155" t="s">
        <v>378</v>
      </c>
      <c r="B186" s="156">
        <v>43561</v>
      </c>
      <c r="C186" s="155" t="s">
        <v>73</v>
      </c>
      <c r="D186" s="157">
        <v>6000</v>
      </c>
      <c r="E186" s="155">
        <v>2</v>
      </c>
      <c r="F186" s="157">
        <f t="shared" si="2"/>
        <v>12000</v>
      </c>
    </row>
    <row r="187" spans="1:6">
      <c r="A187" s="155" t="s">
        <v>383</v>
      </c>
      <c r="B187" s="156">
        <v>43561</v>
      </c>
      <c r="C187" s="155" t="s">
        <v>390</v>
      </c>
      <c r="D187" s="157">
        <v>300</v>
      </c>
      <c r="E187" s="155">
        <v>1</v>
      </c>
      <c r="F187" s="157">
        <f t="shared" si="2"/>
        <v>300</v>
      </c>
    </row>
    <row r="188" spans="1:6">
      <c r="A188" s="155" t="s">
        <v>383</v>
      </c>
      <c r="B188" s="156">
        <v>43561</v>
      </c>
      <c r="C188" s="155" t="s">
        <v>382</v>
      </c>
      <c r="D188" s="157">
        <v>200</v>
      </c>
      <c r="E188" s="155">
        <v>1</v>
      </c>
      <c r="F188" s="157">
        <f t="shared" si="2"/>
        <v>200</v>
      </c>
    </row>
    <row r="189" spans="1:6">
      <c r="A189" s="155" t="s">
        <v>159</v>
      </c>
      <c r="B189" s="156">
        <v>43561</v>
      </c>
      <c r="C189" s="155" t="s">
        <v>73</v>
      </c>
      <c r="D189" s="157">
        <v>6000</v>
      </c>
      <c r="E189" s="155">
        <v>3</v>
      </c>
      <c r="F189" s="157">
        <f t="shared" si="2"/>
        <v>18000</v>
      </c>
    </row>
    <row r="190" spans="1:6">
      <c r="A190" s="155" t="s">
        <v>384</v>
      </c>
      <c r="B190" s="156">
        <v>43561</v>
      </c>
      <c r="C190" s="155" t="s">
        <v>390</v>
      </c>
      <c r="D190" s="157">
        <v>300</v>
      </c>
      <c r="E190" s="155">
        <v>4</v>
      </c>
      <c r="F190" s="157">
        <f t="shared" si="2"/>
        <v>1200</v>
      </c>
    </row>
    <row r="191" spans="1:6">
      <c r="A191" s="155" t="s">
        <v>380</v>
      </c>
      <c r="B191" s="156">
        <v>43562</v>
      </c>
      <c r="C191" s="155" t="s">
        <v>372</v>
      </c>
      <c r="D191" s="157">
        <v>450</v>
      </c>
      <c r="E191" s="155">
        <v>4</v>
      </c>
      <c r="F191" s="157">
        <f t="shared" si="2"/>
        <v>1800</v>
      </c>
    </row>
    <row r="192" spans="1:6">
      <c r="A192" s="155" t="s">
        <v>386</v>
      </c>
      <c r="B192" s="156">
        <v>43562</v>
      </c>
      <c r="C192" s="155" t="s">
        <v>385</v>
      </c>
      <c r="D192" s="157">
        <v>1800</v>
      </c>
      <c r="E192" s="155">
        <v>4</v>
      </c>
      <c r="F192" s="157">
        <f t="shared" si="2"/>
        <v>7200</v>
      </c>
    </row>
    <row r="193" spans="1:6">
      <c r="A193" s="155" t="s">
        <v>380</v>
      </c>
      <c r="B193" s="156">
        <v>43563</v>
      </c>
      <c r="C193" s="155" t="s">
        <v>379</v>
      </c>
      <c r="D193" s="157">
        <v>150</v>
      </c>
      <c r="E193" s="155">
        <v>1</v>
      </c>
      <c r="F193" s="157">
        <f t="shared" si="2"/>
        <v>150</v>
      </c>
    </row>
    <row r="194" spans="1:6">
      <c r="A194" s="155" t="s">
        <v>378</v>
      </c>
      <c r="B194" s="156">
        <v>43563</v>
      </c>
      <c r="C194" s="155" t="s">
        <v>385</v>
      </c>
      <c r="D194" s="157">
        <v>1800</v>
      </c>
      <c r="E194" s="155">
        <v>4</v>
      </c>
      <c r="F194" s="157">
        <f t="shared" si="2"/>
        <v>7200</v>
      </c>
    </row>
    <row r="195" spans="1:6">
      <c r="A195" s="155" t="s">
        <v>384</v>
      </c>
      <c r="B195" s="156">
        <v>43563</v>
      </c>
      <c r="C195" s="155" t="s">
        <v>385</v>
      </c>
      <c r="D195" s="157">
        <v>1800</v>
      </c>
      <c r="E195" s="155">
        <v>3</v>
      </c>
      <c r="F195" s="157">
        <f t="shared" si="2"/>
        <v>5400</v>
      </c>
    </row>
    <row r="196" spans="1:6">
      <c r="A196" s="155" t="s">
        <v>386</v>
      </c>
      <c r="B196" s="156">
        <v>43563</v>
      </c>
      <c r="C196" s="155" t="s">
        <v>73</v>
      </c>
      <c r="D196" s="157">
        <v>6000</v>
      </c>
      <c r="E196" s="155">
        <v>4</v>
      </c>
      <c r="F196" s="157">
        <f t="shared" si="2"/>
        <v>24000</v>
      </c>
    </row>
    <row r="197" spans="1:6">
      <c r="A197" s="155" t="s">
        <v>384</v>
      </c>
      <c r="B197" s="156">
        <v>43564</v>
      </c>
      <c r="C197" s="155" t="s">
        <v>381</v>
      </c>
      <c r="D197" s="157">
        <v>600</v>
      </c>
      <c r="E197" s="155">
        <v>2</v>
      </c>
      <c r="F197" s="157">
        <f t="shared" si="2"/>
        <v>1200</v>
      </c>
    </row>
    <row r="198" spans="1:6">
      <c r="A198" s="155" t="s">
        <v>383</v>
      </c>
      <c r="B198" s="156">
        <v>43564</v>
      </c>
      <c r="C198" s="155" t="s">
        <v>73</v>
      </c>
      <c r="D198" s="157">
        <v>6000</v>
      </c>
      <c r="E198" s="155">
        <v>4</v>
      </c>
      <c r="F198" s="157">
        <f t="shared" si="2"/>
        <v>24000</v>
      </c>
    </row>
    <row r="199" spans="1:6">
      <c r="A199" s="155" t="s">
        <v>380</v>
      </c>
      <c r="B199" s="156">
        <v>43564</v>
      </c>
      <c r="C199" s="155" t="s">
        <v>390</v>
      </c>
      <c r="D199" s="157">
        <v>300</v>
      </c>
      <c r="E199" s="155">
        <v>3</v>
      </c>
      <c r="F199" s="157">
        <f t="shared" si="2"/>
        <v>900</v>
      </c>
    </row>
    <row r="200" spans="1:6">
      <c r="A200" s="155" t="s">
        <v>386</v>
      </c>
      <c r="B200" s="156">
        <v>43565</v>
      </c>
      <c r="C200" s="155" t="s">
        <v>73</v>
      </c>
      <c r="D200" s="157">
        <v>6000</v>
      </c>
      <c r="E200" s="155">
        <v>1</v>
      </c>
      <c r="F200" s="157">
        <f t="shared" si="2"/>
        <v>6000</v>
      </c>
    </row>
    <row r="201" spans="1:6">
      <c r="A201" s="155" t="s">
        <v>383</v>
      </c>
      <c r="B201" s="156">
        <v>43566</v>
      </c>
      <c r="C201" s="155" t="s">
        <v>372</v>
      </c>
      <c r="D201" s="157">
        <v>450</v>
      </c>
      <c r="E201" s="155">
        <v>1</v>
      </c>
      <c r="F201" s="157">
        <f t="shared" ref="F201:F264" si="3">E201*D201</f>
        <v>450</v>
      </c>
    </row>
    <row r="202" spans="1:6">
      <c r="A202" s="155" t="s">
        <v>384</v>
      </c>
      <c r="B202" s="156">
        <v>43566</v>
      </c>
      <c r="C202" s="155" t="s">
        <v>73</v>
      </c>
      <c r="D202" s="157">
        <v>6000</v>
      </c>
      <c r="E202" s="155">
        <v>2</v>
      </c>
      <c r="F202" s="157">
        <f t="shared" si="3"/>
        <v>12000</v>
      </c>
    </row>
    <row r="203" spans="1:6">
      <c r="A203" s="155" t="s">
        <v>384</v>
      </c>
      <c r="B203" s="156">
        <v>43567</v>
      </c>
      <c r="C203" s="155" t="s">
        <v>381</v>
      </c>
      <c r="D203" s="157">
        <v>600</v>
      </c>
      <c r="E203" s="155">
        <v>4</v>
      </c>
      <c r="F203" s="157">
        <f t="shared" si="3"/>
        <v>2400</v>
      </c>
    </row>
    <row r="204" spans="1:6">
      <c r="A204" s="155" t="s">
        <v>383</v>
      </c>
      <c r="B204" s="156">
        <v>43567</v>
      </c>
      <c r="C204" s="155" t="s">
        <v>385</v>
      </c>
      <c r="D204" s="157">
        <v>1800</v>
      </c>
      <c r="E204" s="155">
        <v>4</v>
      </c>
      <c r="F204" s="157">
        <f t="shared" si="3"/>
        <v>7200</v>
      </c>
    </row>
    <row r="205" spans="1:6">
      <c r="A205" s="155" t="s">
        <v>378</v>
      </c>
      <c r="B205" s="156">
        <v>43568</v>
      </c>
      <c r="C205" s="155" t="s">
        <v>73</v>
      </c>
      <c r="D205" s="157">
        <v>6000</v>
      </c>
      <c r="E205" s="155">
        <v>4</v>
      </c>
      <c r="F205" s="157">
        <f t="shared" si="3"/>
        <v>24000</v>
      </c>
    </row>
    <row r="206" spans="1:6">
      <c r="A206" s="155" t="s">
        <v>380</v>
      </c>
      <c r="B206" s="156">
        <v>43569</v>
      </c>
      <c r="C206" s="155" t="s">
        <v>390</v>
      </c>
      <c r="D206" s="157">
        <v>300</v>
      </c>
      <c r="E206" s="155">
        <v>2</v>
      </c>
      <c r="F206" s="157">
        <f t="shared" si="3"/>
        <v>600</v>
      </c>
    </row>
    <row r="207" spans="1:6">
      <c r="A207" s="155" t="s">
        <v>386</v>
      </c>
      <c r="B207" s="156">
        <v>43569</v>
      </c>
      <c r="C207" s="155" t="s">
        <v>390</v>
      </c>
      <c r="D207" s="157">
        <v>300</v>
      </c>
      <c r="E207" s="155">
        <v>3</v>
      </c>
      <c r="F207" s="157">
        <f t="shared" si="3"/>
        <v>900</v>
      </c>
    </row>
    <row r="208" spans="1:6">
      <c r="A208" s="155" t="s">
        <v>384</v>
      </c>
      <c r="B208" s="156">
        <v>43569</v>
      </c>
      <c r="C208" s="155" t="s">
        <v>372</v>
      </c>
      <c r="D208" s="157">
        <v>450</v>
      </c>
      <c r="E208" s="155">
        <v>4</v>
      </c>
      <c r="F208" s="157">
        <f t="shared" si="3"/>
        <v>1800</v>
      </c>
    </row>
    <row r="209" spans="1:6">
      <c r="A209" s="155" t="s">
        <v>380</v>
      </c>
      <c r="B209" s="156">
        <v>43569</v>
      </c>
      <c r="C209" s="155" t="s">
        <v>382</v>
      </c>
      <c r="D209" s="157">
        <v>200</v>
      </c>
      <c r="E209" s="155">
        <v>4</v>
      </c>
      <c r="F209" s="157">
        <f t="shared" si="3"/>
        <v>800</v>
      </c>
    </row>
    <row r="210" spans="1:6">
      <c r="A210" s="155" t="s">
        <v>384</v>
      </c>
      <c r="B210" s="156">
        <v>43569</v>
      </c>
      <c r="C210" s="155" t="s">
        <v>390</v>
      </c>
      <c r="D210" s="157">
        <v>300</v>
      </c>
      <c r="E210" s="155">
        <v>2</v>
      </c>
      <c r="F210" s="157">
        <f t="shared" si="3"/>
        <v>600</v>
      </c>
    </row>
    <row r="211" spans="1:6">
      <c r="A211" s="155" t="s">
        <v>378</v>
      </c>
      <c r="B211" s="156">
        <v>43569</v>
      </c>
      <c r="C211" s="155" t="s">
        <v>372</v>
      </c>
      <c r="D211" s="157">
        <v>450</v>
      </c>
      <c r="E211" s="155">
        <v>1</v>
      </c>
      <c r="F211" s="157">
        <f t="shared" si="3"/>
        <v>450</v>
      </c>
    </row>
    <row r="212" spans="1:6">
      <c r="A212" s="155" t="s">
        <v>378</v>
      </c>
      <c r="B212" s="156">
        <v>43570</v>
      </c>
      <c r="C212" s="155" t="s">
        <v>379</v>
      </c>
      <c r="D212" s="157">
        <v>150</v>
      </c>
      <c r="E212" s="155">
        <v>3</v>
      </c>
      <c r="F212" s="157">
        <f t="shared" si="3"/>
        <v>450</v>
      </c>
    </row>
    <row r="213" spans="1:6">
      <c r="A213" s="155" t="s">
        <v>384</v>
      </c>
      <c r="B213" s="156">
        <v>43570</v>
      </c>
      <c r="C213" s="155" t="s">
        <v>372</v>
      </c>
      <c r="D213" s="157">
        <v>450</v>
      </c>
      <c r="E213" s="155">
        <v>1</v>
      </c>
      <c r="F213" s="157">
        <f t="shared" si="3"/>
        <v>450</v>
      </c>
    </row>
    <row r="214" spans="1:6">
      <c r="A214" s="155" t="s">
        <v>378</v>
      </c>
      <c r="B214" s="156">
        <v>43573</v>
      </c>
      <c r="C214" s="155" t="s">
        <v>372</v>
      </c>
      <c r="D214" s="157">
        <v>450</v>
      </c>
      <c r="E214" s="155">
        <v>4</v>
      </c>
      <c r="F214" s="157">
        <f t="shared" si="3"/>
        <v>1800</v>
      </c>
    </row>
    <row r="215" spans="1:6">
      <c r="A215" s="155" t="s">
        <v>386</v>
      </c>
      <c r="B215" s="156">
        <v>43573</v>
      </c>
      <c r="C215" s="155" t="s">
        <v>372</v>
      </c>
      <c r="D215" s="157">
        <v>450</v>
      </c>
      <c r="E215" s="155">
        <v>3</v>
      </c>
      <c r="F215" s="157">
        <f t="shared" si="3"/>
        <v>1350</v>
      </c>
    </row>
    <row r="216" spans="1:6">
      <c r="A216" s="155" t="s">
        <v>380</v>
      </c>
      <c r="B216" s="156">
        <v>43573</v>
      </c>
      <c r="C216" s="155" t="s">
        <v>382</v>
      </c>
      <c r="D216" s="157">
        <v>200</v>
      </c>
      <c r="E216" s="155">
        <v>2</v>
      </c>
      <c r="F216" s="157">
        <f t="shared" si="3"/>
        <v>400</v>
      </c>
    </row>
    <row r="217" spans="1:6">
      <c r="A217" s="155" t="s">
        <v>378</v>
      </c>
      <c r="B217" s="156">
        <v>43574</v>
      </c>
      <c r="C217" s="155" t="s">
        <v>379</v>
      </c>
      <c r="D217" s="157">
        <v>150</v>
      </c>
      <c r="E217" s="155">
        <v>3</v>
      </c>
      <c r="F217" s="157">
        <f t="shared" si="3"/>
        <v>450</v>
      </c>
    </row>
    <row r="218" spans="1:6">
      <c r="A218" s="155" t="s">
        <v>384</v>
      </c>
      <c r="B218" s="156">
        <v>43575</v>
      </c>
      <c r="C218" s="155" t="s">
        <v>73</v>
      </c>
      <c r="D218" s="157">
        <v>6000</v>
      </c>
      <c r="E218" s="155">
        <v>1</v>
      </c>
      <c r="F218" s="157">
        <f t="shared" si="3"/>
        <v>6000</v>
      </c>
    </row>
    <row r="219" spans="1:6">
      <c r="A219" s="155" t="s">
        <v>386</v>
      </c>
      <c r="B219" s="156">
        <v>43575</v>
      </c>
      <c r="C219" s="155" t="s">
        <v>379</v>
      </c>
      <c r="D219" s="157">
        <v>150</v>
      </c>
      <c r="E219" s="155">
        <v>2</v>
      </c>
      <c r="F219" s="157">
        <f t="shared" si="3"/>
        <v>300</v>
      </c>
    </row>
    <row r="220" spans="1:6">
      <c r="A220" s="155" t="s">
        <v>378</v>
      </c>
      <c r="B220" s="156">
        <v>43576</v>
      </c>
      <c r="C220" s="155" t="s">
        <v>372</v>
      </c>
      <c r="D220" s="157">
        <v>450</v>
      </c>
      <c r="E220" s="155">
        <v>4</v>
      </c>
      <c r="F220" s="157">
        <f t="shared" si="3"/>
        <v>1800</v>
      </c>
    </row>
    <row r="221" spans="1:6">
      <c r="A221" s="155" t="s">
        <v>380</v>
      </c>
      <c r="B221" s="156">
        <v>43576</v>
      </c>
      <c r="C221" s="155" t="s">
        <v>73</v>
      </c>
      <c r="D221" s="157">
        <v>6000</v>
      </c>
      <c r="E221" s="155">
        <v>2</v>
      </c>
      <c r="F221" s="157">
        <f t="shared" si="3"/>
        <v>12000</v>
      </c>
    </row>
    <row r="222" spans="1:6">
      <c r="A222" s="155" t="s">
        <v>386</v>
      </c>
      <c r="B222" s="156">
        <v>43576</v>
      </c>
      <c r="C222" s="155" t="s">
        <v>379</v>
      </c>
      <c r="D222" s="157">
        <v>150</v>
      </c>
      <c r="E222" s="155">
        <v>4</v>
      </c>
      <c r="F222" s="157">
        <f t="shared" si="3"/>
        <v>600</v>
      </c>
    </row>
    <row r="223" spans="1:6">
      <c r="A223" s="155" t="s">
        <v>380</v>
      </c>
      <c r="B223" s="156">
        <v>43577</v>
      </c>
      <c r="C223" s="155" t="s">
        <v>385</v>
      </c>
      <c r="D223" s="157">
        <v>1800</v>
      </c>
      <c r="E223" s="155">
        <v>2</v>
      </c>
      <c r="F223" s="157">
        <f t="shared" si="3"/>
        <v>3600</v>
      </c>
    </row>
    <row r="224" spans="1:6">
      <c r="A224" s="155" t="s">
        <v>378</v>
      </c>
      <c r="B224" s="156">
        <v>43577</v>
      </c>
      <c r="C224" s="155" t="s">
        <v>372</v>
      </c>
      <c r="D224" s="157">
        <v>450</v>
      </c>
      <c r="E224" s="155">
        <v>3</v>
      </c>
      <c r="F224" s="157">
        <f t="shared" si="3"/>
        <v>1350</v>
      </c>
    </row>
    <row r="225" spans="1:6">
      <c r="A225" s="155" t="s">
        <v>380</v>
      </c>
      <c r="B225" s="156">
        <v>43578</v>
      </c>
      <c r="C225" s="155" t="s">
        <v>390</v>
      </c>
      <c r="D225" s="157">
        <v>300</v>
      </c>
      <c r="E225" s="155">
        <v>3</v>
      </c>
      <c r="F225" s="157">
        <f t="shared" si="3"/>
        <v>900</v>
      </c>
    </row>
    <row r="226" spans="1:6">
      <c r="A226" s="155" t="s">
        <v>383</v>
      </c>
      <c r="B226" s="156">
        <v>43579</v>
      </c>
      <c r="C226" s="155" t="s">
        <v>379</v>
      </c>
      <c r="D226" s="157">
        <v>150</v>
      </c>
      <c r="E226" s="155">
        <v>1</v>
      </c>
      <c r="F226" s="157">
        <f t="shared" si="3"/>
        <v>150</v>
      </c>
    </row>
    <row r="227" spans="1:6">
      <c r="A227" s="155" t="s">
        <v>159</v>
      </c>
      <c r="B227" s="156">
        <v>43580</v>
      </c>
      <c r="C227" s="155" t="s">
        <v>73</v>
      </c>
      <c r="D227" s="157">
        <v>6000</v>
      </c>
      <c r="E227" s="155">
        <v>2</v>
      </c>
      <c r="F227" s="157">
        <f t="shared" si="3"/>
        <v>12000</v>
      </c>
    </row>
    <row r="228" spans="1:6">
      <c r="A228" s="155" t="s">
        <v>386</v>
      </c>
      <c r="B228" s="156">
        <v>43580</v>
      </c>
      <c r="C228" s="155" t="s">
        <v>372</v>
      </c>
      <c r="D228" s="157">
        <v>450</v>
      </c>
      <c r="E228" s="155">
        <v>3</v>
      </c>
      <c r="F228" s="157">
        <f t="shared" si="3"/>
        <v>1350</v>
      </c>
    </row>
    <row r="229" spans="1:6">
      <c r="A229" s="155" t="s">
        <v>386</v>
      </c>
      <c r="B229" s="156">
        <v>43580</v>
      </c>
      <c r="C229" s="155" t="s">
        <v>382</v>
      </c>
      <c r="D229" s="157">
        <v>200</v>
      </c>
      <c r="E229" s="155">
        <v>4</v>
      </c>
      <c r="F229" s="157">
        <f t="shared" si="3"/>
        <v>800</v>
      </c>
    </row>
    <row r="230" spans="1:6">
      <c r="A230" s="155" t="s">
        <v>383</v>
      </c>
      <c r="B230" s="156">
        <v>43580</v>
      </c>
      <c r="C230" s="155" t="s">
        <v>73</v>
      </c>
      <c r="D230" s="157">
        <v>6000</v>
      </c>
      <c r="E230" s="155">
        <v>3</v>
      </c>
      <c r="F230" s="157">
        <f t="shared" si="3"/>
        <v>18000</v>
      </c>
    </row>
    <row r="231" spans="1:6">
      <c r="A231" s="155" t="s">
        <v>384</v>
      </c>
      <c r="B231" s="156">
        <v>43581</v>
      </c>
      <c r="C231" s="155" t="s">
        <v>381</v>
      </c>
      <c r="D231" s="157">
        <v>600</v>
      </c>
      <c r="E231" s="155">
        <v>4</v>
      </c>
      <c r="F231" s="157">
        <f t="shared" si="3"/>
        <v>2400</v>
      </c>
    </row>
    <row r="232" spans="1:6">
      <c r="A232" s="155" t="s">
        <v>159</v>
      </c>
      <c r="B232" s="156">
        <v>43582</v>
      </c>
      <c r="C232" s="155" t="s">
        <v>372</v>
      </c>
      <c r="D232" s="157">
        <v>450</v>
      </c>
      <c r="E232" s="155">
        <v>3</v>
      </c>
      <c r="F232" s="157">
        <f t="shared" si="3"/>
        <v>1350</v>
      </c>
    </row>
    <row r="233" spans="1:6">
      <c r="A233" s="155" t="s">
        <v>159</v>
      </c>
      <c r="B233" s="156">
        <v>43582</v>
      </c>
      <c r="C233" s="155" t="s">
        <v>382</v>
      </c>
      <c r="D233" s="157">
        <v>200</v>
      </c>
      <c r="E233" s="155">
        <v>1</v>
      </c>
      <c r="F233" s="157">
        <f t="shared" si="3"/>
        <v>200</v>
      </c>
    </row>
    <row r="234" spans="1:6">
      <c r="A234" s="155" t="s">
        <v>159</v>
      </c>
      <c r="B234" s="156">
        <v>43583</v>
      </c>
      <c r="C234" s="155" t="s">
        <v>385</v>
      </c>
      <c r="D234" s="157">
        <v>1800</v>
      </c>
      <c r="E234" s="155">
        <v>2</v>
      </c>
      <c r="F234" s="157">
        <f t="shared" si="3"/>
        <v>3600</v>
      </c>
    </row>
    <row r="235" spans="1:6">
      <c r="A235" s="155" t="s">
        <v>386</v>
      </c>
      <c r="B235" s="156">
        <v>43583</v>
      </c>
      <c r="C235" s="155" t="s">
        <v>372</v>
      </c>
      <c r="D235" s="157">
        <v>450</v>
      </c>
      <c r="E235" s="155">
        <v>3</v>
      </c>
      <c r="F235" s="157">
        <f t="shared" si="3"/>
        <v>1350</v>
      </c>
    </row>
    <row r="236" spans="1:6">
      <c r="A236" s="155" t="s">
        <v>386</v>
      </c>
      <c r="B236" s="156">
        <v>43583</v>
      </c>
      <c r="C236" s="155" t="s">
        <v>379</v>
      </c>
      <c r="D236" s="157">
        <v>150</v>
      </c>
      <c r="E236" s="155">
        <v>1</v>
      </c>
      <c r="F236" s="157">
        <f t="shared" si="3"/>
        <v>150</v>
      </c>
    </row>
    <row r="237" spans="1:6">
      <c r="A237" s="155" t="s">
        <v>378</v>
      </c>
      <c r="B237" s="156">
        <v>43583</v>
      </c>
      <c r="C237" s="155" t="s">
        <v>379</v>
      </c>
      <c r="D237" s="157">
        <v>150</v>
      </c>
      <c r="E237" s="155">
        <v>1</v>
      </c>
      <c r="F237" s="157">
        <f t="shared" si="3"/>
        <v>150</v>
      </c>
    </row>
    <row r="238" spans="1:6">
      <c r="A238" s="155" t="s">
        <v>380</v>
      </c>
      <c r="B238" s="156">
        <v>43584</v>
      </c>
      <c r="C238" s="155" t="s">
        <v>379</v>
      </c>
      <c r="D238" s="157">
        <v>150</v>
      </c>
      <c r="E238" s="155">
        <v>1</v>
      </c>
      <c r="F238" s="157">
        <f t="shared" si="3"/>
        <v>150</v>
      </c>
    </row>
    <row r="239" spans="1:6">
      <c r="A239" s="155" t="s">
        <v>383</v>
      </c>
      <c r="B239" s="156">
        <v>43584</v>
      </c>
      <c r="C239" s="155" t="s">
        <v>381</v>
      </c>
      <c r="D239" s="157">
        <v>600</v>
      </c>
      <c r="E239" s="155">
        <v>4</v>
      </c>
      <c r="F239" s="157">
        <f t="shared" si="3"/>
        <v>2400</v>
      </c>
    </row>
    <row r="240" spans="1:6">
      <c r="A240" s="155" t="s">
        <v>383</v>
      </c>
      <c r="B240" s="156">
        <v>43584</v>
      </c>
      <c r="C240" s="155" t="s">
        <v>385</v>
      </c>
      <c r="D240" s="157">
        <v>1800</v>
      </c>
      <c r="E240" s="155">
        <v>1</v>
      </c>
      <c r="F240" s="157">
        <f t="shared" si="3"/>
        <v>1800</v>
      </c>
    </row>
    <row r="241" spans="1:6">
      <c r="A241" s="155" t="s">
        <v>380</v>
      </c>
      <c r="B241" s="156">
        <v>43585</v>
      </c>
      <c r="C241" s="155" t="s">
        <v>73</v>
      </c>
      <c r="D241" s="157">
        <v>6000</v>
      </c>
      <c r="E241" s="155">
        <v>4</v>
      </c>
      <c r="F241" s="157">
        <f t="shared" si="3"/>
        <v>24000</v>
      </c>
    </row>
    <row r="242" spans="1:6">
      <c r="A242" s="155" t="s">
        <v>378</v>
      </c>
      <c r="B242" s="156">
        <v>43585</v>
      </c>
      <c r="C242" s="155" t="s">
        <v>379</v>
      </c>
      <c r="D242" s="157">
        <v>150</v>
      </c>
      <c r="E242" s="155">
        <v>2</v>
      </c>
      <c r="F242" s="157">
        <f t="shared" si="3"/>
        <v>300</v>
      </c>
    </row>
    <row r="243" spans="1:6">
      <c r="A243" s="155" t="s">
        <v>383</v>
      </c>
      <c r="B243" s="156">
        <v>43585</v>
      </c>
      <c r="C243" s="155" t="s">
        <v>379</v>
      </c>
      <c r="D243" s="157">
        <v>150</v>
      </c>
      <c r="E243" s="155">
        <v>4</v>
      </c>
      <c r="F243" s="157">
        <f t="shared" si="3"/>
        <v>600</v>
      </c>
    </row>
    <row r="244" spans="1:6">
      <c r="A244" s="155" t="s">
        <v>159</v>
      </c>
      <c r="B244" s="156">
        <v>43586</v>
      </c>
      <c r="C244" s="155" t="s">
        <v>73</v>
      </c>
      <c r="D244" s="157">
        <v>6000</v>
      </c>
      <c r="E244" s="155">
        <v>4</v>
      </c>
      <c r="F244" s="157">
        <f t="shared" si="3"/>
        <v>24000</v>
      </c>
    </row>
    <row r="245" spans="1:6">
      <c r="A245" s="155" t="s">
        <v>384</v>
      </c>
      <c r="B245" s="156">
        <v>43586</v>
      </c>
      <c r="C245" s="155" t="s">
        <v>385</v>
      </c>
      <c r="D245" s="157">
        <v>1800</v>
      </c>
      <c r="E245" s="155">
        <v>2</v>
      </c>
      <c r="F245" s="157">
        <f t="shared" si="3"/>
        <v>3600</v>
      </c>
    </row>
    <row r="246" spans="1:6">
      <c r="A246" s="155" t="s">
        <v>386</v>
      </c>
      <c r="B246" s="156">
        <v>43587</v>
      </c>
      <c r="C246" s="155" t="s">
        <v>381</v>
      </c>
      <c r="D246" s="157">
        <v>600</v>
      </c>
      <c r="E246" s="155">
        <v>2</v>
      </c>
      <c r="F246" s="157">
        <f t="shared" si="3"/>
        <v>1200</v>
      </c>
    </row>
    <row r="247" spans="1:6">
      <c r="A247" s="155" t="s">
        <v>378</v>
      </c>
      <c r="B247" s="156">
        <v>43588</v>
      </c>
      <c r="C247" s="155" t="s">
        <v>372</v>
      </c>
      <c r="D247" s="157">
        <v>450</v>
      </c>
      <c r="E247" s="155">
        <v>4</v>
      </c>
      <c r="F247" s="157">
        <f t="shared" si="3"/>
        <v>1800</v>
      </c>
    </row>
    <row r="248" spans="1:6">
      <c r="A248" s="155" t="s">
        <v>159</v>
      </c>
      <c r="B248" s="156">
        <v>43589</v>
      </c>
      <c r="C248" s="155" t="s">
        <v>390</v>
      </c>
      <c r="D248" s="157">
        <v>300</v>
      </c>
      <c r="E248" s="155">
        <v>3</v>
      </c>
      <c r="F248" s="157">
        <f t="shared" si="3"/>
        <v>900</v>
      </c>
    </row>
    <row r="249" spans="1:6">
      <c r="A249" s="155" t="s">
        <v>159</v>
      </c>
      <c r="B249" s="156">
        <v>43590</v>
      </c>
      <c r="C249" s="155" t="s">
        <v>73</v>
      </c>
      <c r="D249" s="157">
        <v>6000</v>
      </c>
      <c r="E249" s="155">
        <v>3</v>
      </c>
      <c r="F249" s="157">
        <f t="shared" si="3"/>
        <v>18000</v>
      </c>
    </row>
    <row r="250" spans="1:6">
      <c r="A250" s="155" t="s">
        <v>159</v>
      </c>
      <c r="B250" s="156">
        <v>43590</v>
      </c>
      <c r="C250" s="155" t="s">
        <v>379</v>
      </c>
      <c r="D250" s="157">
        <v>150</v>
      </c>
      <c r="E250" s="155">
        <v>4</v>
      </c>
      <c r="F250" s="157">
        <f t="shared" si="3"/>
        <v>600</v>
      </c>
    </row>
    <row r="251" spans="1:6">
      <c r="A251" s="155" t="s">
        <v>383</v>
      </c>
      <c r="B251" s="156">
        <v>43590</v>
      </c>
      <c r="C251" s="155" t="s">
        <v>385</v>
      </c>
      <c r="D251" s="157">
        <v>1800</v>
      </c>
      <c r="E251" s="155">
        <v>4</v>
      </c>
      <c r="F251" s="157">
        <f t="shared" si="3"/>
        <v>7200</v>
      </c>
    </row>
    <row r="252" spans="1:6">
      <c r="A252" s="155" t="s">
        <v>383</v>
      </c>
      <c r="B252" s="156">
        <v>43591</v>
      </c>
      <c r="C252" s="155" t="s">
        <v>381</v>
      </c>
      <c r="D252" s="157">
        <v>600</v>
      </c>
      <c r="E252" s="155">
        <v>1</v>
      </c>
      <c r="F252" s="157">
        <f t="shared" si="3"/>
        <v>600</v>
      </c>
    </row>
    <row r="253" spans="1:6">
      <c r="A253" s="155" t="s">
        <v>159</v>
      </c>
      <c r="B253" s="156">
        <v>43591</v>
      </c>
      <c r="C253" s="155" t="s">
        <v>379</v>
      </c>
      <c r="D253" s="157">
        <v>150</v>
      </c>
      <c r="E253" s="155">
        <v>1</v>
      </c>
      <c r="F253" s="157">
        <f t="shared" si="3"/>
        <v>150</v>
      </c>
    </row>
    <row r="254" spans="1:6">
      <c r="A254" s="155" t="s">
        <v>380</v>
      </c>
      <c r="B254" s="156">
        <v>43592</v>
      </c>
      <c r="C254" s="155" t="s">
        <v>385</v>
      </c>
      <c r="D254" s="157">
        <v>1800</v>
      </c>
      <c r="E254" s="155">
        <v>1</v>
      </c>
      <c r="F254" s="157">
        <f t="shared" si="3"/>
        <v>1800</v>
      </c>
    </row>
    <row r="255" spans="1:6">
      <c r="A255" s="155" t="s">
        <v>383</v>
      </c>
      <c r="B255" s="156">
        <v>43592</v>
      </c>
      <c r="C255" s="155" t="s">
        <v>379</v>
      </c>
      <c r="D255" s="157">
        <v>150</v>
      </c>
      <c r="E255" s="155">
        <v>3</v>
      </c>
      <c r="F255" s="157">
        <f t="shared" si="3"/>
        <v>450</v>
      </c>
    </row>
    <row r="256" spans="1:6">
      <c r="A256" s="155" t="s">
        <v>383</v>
      </c>
      <c r="B256" s="156">
        <v>43593</v>
      </c>
      <c r="C256" s="155" t="s">
        <v>382</v>
      </c>
      <c r="D256" s="157">
        <v>200</v>
      </c>
      <c r="E256" s="155">
        <v>4</v>
      </c>
      <c r="F256" s="157">
        <f t="shared" si="3"/>
        <v>800</v>
      </c>
    </row>
    <row r="257" spans="1:6">
      <c r="A257" s="155" t="s">
        <v>384</v>
      </c>
      <c r="B257" s="156">
        <v>43593</v>
      </c>
      <c r="C257" s="155" t="s">
        <v>385</v>
      </c>
      <c r="D257" s="157">
        <v>1800</v>
      </c>
      <c r="E257" s="155">
        <v>3</v>
      </c>
      <c r="F257" s="157">
        <f t="shared" si="3"/>
        <v>5400</v>
      </c>
    </row>
    <row r="258" spans="1:6">
      <c r="A258" s="155" t="s">
        <v>378</v>
      </c>
      <c r="B258" s="156">
        <v>43594</v>
      </c>
      <c r="C258" s="155" t="s">
        <v>379</v>
      </c>
      <c r="D258" s="157">
        <v>150</v>
      </c>
      <c r="E258" s="155">
        <v>2</v>
      </c>
      <c r="F258" s="157">
        <f t="shared" si="3"/>
        <v>300</v>
      </c>
    </row>
    <row r="259" spans="1:6">
      <c r="A259" s="155" t="s">
        <v>386</v>
      </c>
      <c r="B259" s="156">
        <v>43594</v>
      </c>
      <c r="C259" s="155" t="s">
        <v>381</v>
      </c>
      <c r="D259" s="157">
        <v>600</v>
      </c>
      <c r="E259" s="155">
        <v>4</v>
      </c>
      <c r="F259" s="157">
        <f t="shared" si="3"/>
        <v>2400</v>
      </c>
    </row>
    <row r="260" spans="1:6">
      <c r="A260" s="155" t="s">
        <v>386</v>
      </c>
      <c r="B260" s="156">
        <v>43595</v>
      </c>
      <c r="C260" s="155" t="s">
        <v>379</v>
      </c>
      <c r="D260" s="157">
        <v>150</v>
      </c>
      <c r="E260" s="155">
        <v>1</v>
      </c>
      <c r="F260" s="157">
        <f t="shared" si="3"/>
        <v>150</v>
      </c>
    </row>
    <row r="261" spans="1:6">
      <c r="A261" s="155" t="s">
        <v>380</v>
      </c>
      <c r="B261" s="156">
        <v>43595</v>
      </c>
      <c r="C261" s="155" t="s">
        <v>385</v>
      </c>
      <c r="D261" s="157">
        <v>1800</v>
      </c>
      <c r="E261" s="155">
        <v>1</v>
      </c>
      <c r="F261" s="157">
        <f t="shared" si="3"/>
        <v>1800</v>
      </c>
    </row>
    <row r="262" spans="1:6">
      <c r="A262" s="155" t="s">
        <v>159</v>
      </c>
      <c r="B262" s="156">
        <v>43595</v>
      </c>
      <c r="C262" s="155" t="s">
        <v>372</v>
      </c>
      <c r="D262" s="157">
        <v>450</v>
      </c>
      <c r="E262" s="155">
        <v>3</v>
      </c>
      <c r="F262" s="157">
        <f t="shared" si="3"/>
        <v>1350</v>
      </c>
    </row>
    <row r="263" spans="1:6">
      <c r="A263" s="155" t="s">
        <v>380</v>
      </c>
      <c r="B263" s="156">
        <v>43596</v>
      </c>
      <c r="C263" s="155" t="s">
        <v>381</v>
      </c>
      <c r="D263" s="157">
        <v>600</v>
      </c>
      <c r="E263" s="155">
        <v>2</v>
      </c>
      <c r="F263" s="157">
        <f t="shared" si="3"/>
        <v>1200</v>
      </c>
    </row>
    <row r="264" spans="1:6">
      <c r="A264" s="155" t="s">
        <v>386</v>
      </c>
      <c r="B264" s="156">
        <v>43596</v>
      </c>
      <c r="C264" s="155" t="s">
        <v>379</v>
      </c>
      <c r="D264" s="157">
        <v>150</v>
      </c>
      <c r="E264" s="155">
        <v>3</v>
      </c>
      <c r="F264" s="157">
        <f t="shared" si="3"/>
        <v>450</v>
      </c>
    </row>
    <row r="265" spans="1:6">
      <c r="A265" s="155" t="s">
        <v>384</v>
      </c>
      <c r="B265" s="156">
        <v>43596</v>
      </c>
      <c r="C265" s="155" t="s">
        <v>382</v>
      </c>
      <c r="D265" s="157">
        <v>200</v>
      </c>
      <c r="E265" s="155">
        <v>4</v>
      </c>
      <c r="F265" s="157">
        <f t="shared" ref="F265:F328" si="4">E265*D265</f>
        <v>800</v>
      </c>
    </row>
    <row r="266" spans="1:6">
      <c r="A266" s="155" t="s">
        <v>383</v>
      </c>
      <c r="B266" s="156">
        <v>43597</v>
      </c>
      <c r="C266" s="155" t="s">
        <v>390</v>
      </c>
      <c r="D266" s="157">
        <v>300</v>
      </c>
      <c r="E266" s="155">
        <v>4</v>
      </c>
      <c r="F266" s="157">
        <f t="shared" si="4"/>
        <v>1200</v>
      </c>
    </row>
    <row r="267" spans="1:6">
      <c r="A267" s="155" t="s">
        <v>386</v>
      </c>
      <c r="B267" s="156">
        <v>43598</v>
      </c>
      <c r="C267" s="155" t="s">
        <v>385</v>
      </c>
      <c r="D267" s="157">
        <v>1800</v>
      </c>
      <c r="E267" s="155">
        <v>4</v>
      </c>
      <c r="F267" s="157">
        <f t="shared" si="4"/>
        <v>7200</v>
      </c>
    </row>
    <row r="268" spans="1:6">
      <c r="A268" s="155" t="s">
        <v>384</v>
      </c>
      <c r="B268" s="156">
        <v>43598</v>
      </c>
      <c r="C268" s="155" t="s">
        <v>385</v>
      </c>
      <c r="D268" s="157">
        <v>1800</v>
      </c>
      <c r="E268" s="155">
        <v>3</v>
      </c>
      <c r="F268" s="157">
        <f t="shared" si="4"/>
        <v>5400</v>
      </c>
    </row>
    <row r="269" spans="1:6">
      <c r="A269" s="155" t="s">
        <v>159</v>
      </c>
      <c r="B269" s="156">
        <v>43598</v>
      </c>
      <c r="C269" s="155" t="s">
        <v>372</v>
      </c>
      <c r="D269" s="157">
        <v>450</v>
      </c>
      <c r="E269" s="155">
        <v>2</v>
      </c>
      <c r="F269" s="157">
        <f t="shared" si="4"/>
        <v>900</v>
      </c>
    </row>
    <row r="270" spans="1:6">
      <c r="A270" s="155" t="s">
        <v>159</v>
      </c>
      <c r="B270" s="156">
        <v>43599</v>
      </c>
      <c r="C270" s="155" t="s">
        <v>385</v>
      </c>
      <c r="D270" s="157">
        <v>1800</v>
      </c>
      <c r="E270" s="155">
        <v>2</v>
      </c>
      <c r="F270" s="157">
        <f t="shared" si="4"/>
        <v>3600</v>
      </c>
    </row>
    <row r="271" spans="1:6">
      <c r="A271" s="155" t="s">
        <v>380</v>
      </c>
      <c r="B271" s="156">
        <v>43601</v>
      </c>
      <c r="C271" s="155" t="s">
        <v>382</v>
      </c>
      <c r="D271" s="157">
        <v>200</v>
      </c>
      <c r="E271" s="155">
        <v>4</v>
      </c>
      <c r="F271" s="157">
        <f t="shared" si="4"/>
        <v>800</v>
      </c>
    </row>
    <row r="272" spans="1:6">
      <c r="A272" s="155" t="s">
        <v>386</v>
      </c>
      <c r="B272" s="156">
        <v>43602</v>
      </c>
      <c r="C272" s="155" t="s">
        <v>73</v>
      </c>
      <c r="D272" s="157">
        <v>6000</v>
      </c>
      <c r="E272" s="155">
        <v>3</v>
      </c>
      <c r="F272" s="157">
        <f t="shared" si="4"/>
        <v>18000</v>
      </c>
    </row>
    <row r="273" spans="1:6">
      <c r="A273" s="155" t="s">
        <v>384</v>
      </c>
      <c r="B273" s="156">
        <v>43602</v>
      </c>
      <c r="C273" s="155" t="s">
        <v>381</v>
      </c>
      <c r="D273" s="157">
        <v>600</v>
      </c>
      <c r="E273" s="155">
        <v>4</v>
      </c>
      <c r="F273" s="157">
        <f t="shared" si="4"/>
        <v>2400</v>
      </c>
    </row>
    <row r="274" spans="1:6">
      <c r="A274" s="155" t="s">
        <v>380</v>
      </c>
      <c r="B274" s="156">
        <v>43604</v>
      </c>
      <c r="C274" s="155" t="s">
        <v>73</v>
      </c>
      <c r="D274" s="157">
        <v>6000</v>
      </c>
      <c r="E274" s="155">
        <v>4</v>
      </c>
      <c r="F274" s="157">
        <f t="shared" si="4"/>
        <v>24000</v>
      </c>
    </row>
    <row r="275" spans="1:6">
      <c r="A275" s="155" t="s">
        <v>378</v>
      </c>
      <c r="B275" s="156">
        <v>43604</v>
      </c>
      <c r="C275" s="155" t="s">
        <v>385</v>
      </c>
      <c r="D275" s="157">
        <v>1800</v>
      </c>
      <c r="E275" s="155">
        <v>3</v>
      </c>
      <c r="F275" s="157">
        <f t="shared" si="4"/>
        <v>5400</v>
      </c>
    </row>
    <row r="276" spans="1:6">
      <c r="A276" s="155" t="s">
        <v>386</v>
      </c>
      <c r="B276" s="156">
        <v>43604</v>
      </c>
      <c r="C276" s="155" t="s">
        <v>372</v>
      </c>
      <c r="D276" s="157">
        <v>450</v>
      </c>
      <c r="E276" s="155">
        <v>4</v>
      </c>
      <c r="F276" s="157">
        <f t="shared" si="4"/>
        <v>1800</v>
      </c>
    </row>
    <row r="277" spans="1:6">
      <c r="A277" s="155" t="s">
        <v>386</v>
      </c>
      <c r="B277" s="156">
        <v>43605</v>
      </c>
      <c r="C277" s="155" t="s">
        <v>381</v>
      </c>
      <c r="D277" s="157">
        <v>600</v>
      </c>
      <c r="E277" s="155">
        <v>2</v>
      </c>
      <c r="F277" s="157">
        <f t="shared" si="4"/>
        <v>1200</v>
      </c>
    </row>
    <row r="278" spans="1:6">
      <c r="A278" s="155" t="s">
        <v>378</v>
      </c>
      <c r="B278" s="156">
        <v>43605</v>
      </c>
      <c r="C278" s="155" t="s">
        <v>73</v>
      </c>
      <c r="D278" s="157">
        <v>6000</v>
      </c>
      <c r="E278" s="155">
        <v>3</v>
      </c>
      <c r="F278" s="157">
        <f t="shared" si="4"/>
        <v>18000</v>
      </c>
    </row>
    <row r="279" spans="1:6">
      <c r="A279" s="155" t="s">
        <v>386</v>
      </c>
      <c r="B279" s="156">
        <v>43608</v>
      </c>
      <c r="C279" s="155" t="s">
        <v>390</v>
      </c>
      <c r="D279" s="157">
        <v>300</v>
      </c>
      <c r="E279" s="155">
        <v>4</v>
      </c>
      <c r="F279" s="157">
        <f t="shared" si="4"/>
        <v>1200</v>
      </c>
    </row>
    <row r="280" spans="1:6">
      <c r="A280" s="155" t="s">
        <v>384</v>
      </c>
      <c r="B280" s="156">
        <v>43609</v>
      </c>
      <c r="C280" s="155" t="s">
        <v>385</v>
      </c>
      <c r="D280" s="157">
        <v>1800</v>
      </c>
      <c r="E280" s="155">
        <v>2</v>
      </c>
      <c r="F280" s="157">
        <f t="shared" si="4"/>
        <v>3600</v>
      </c>
    </row>
    <row r="281" spans="1:6">
      <c r="A281" s="155" t="s">
        <v>378</v>
      </c>
      <c r="B281" s="156">
        <v>43610</v>
      </c>
      <c r="C281" s="155" t="s">
        <v>382</v>
      </c>
      <c r="D281" s="157">
        <v>200</v>
      </c>
      <c r="E281" s="155">
        <v>1</v>
      </c>
      <c r="F281" s="157">
        <f t="shared" si="4"/>
        <v>200</v>
      </c>
    </row>
    <row r="282" spans="1:6">
      <c r="A282" s="155" t="s">
        <v>378</v>
      </c>
      <c r="B282" s="156">
        <v>43610</v>
      </c>
      <c r="C282" s="155" t="s">
        <v>390</v>
      </c>
      <c r="D282" s="157">
        <v>300</v>
      </c>
      <c r="E282" s="155">
        <v>1</v>
      </c>
      <c r="F282" s="157">
        <f t="shared" si="4"/>
        <v>300</v>
      </c>
    </row>
    <row r="283" spans="1:6">
      <c r="A283" s="155" t="s">
        <v>378</v>
      </c>
      <c r="B283" s="156">
        <v>43610</v>
      </c>
      <c r="C283" s="155" t="s">
        <v>385</v>
      </c>
      <c r="D283" s="157">
        <v>1800</v>
      </c>
      <c r="E283" s="155">
        <v>2</v>
      </c>
      <c r="F283" s="157">
        <f t="shared" si="4"/>
        <v>3600</v>
      </c>
    </row>
    <row r="284" spans="1:6">
      <c r="A284" s="155" t="s">
        <v>159</v>
      </c>
      <c r="B284" s="156">
        <v>43611</v>
      </c>
      <c r="C284" s="155" t="s">
        <v>381</v>
      </c>
      <c r="D284" s="157">
        <v>600</v>
      </c>
      <c r="E284" s="155">
        <v>3</v>
      </c>
      <c r="F284" s="157">
        <f t="shared" si="4"/>
        <v>1800</v>
      </c>
    </row>
    <row r="285" spans="1:6">
      <c r="A285" s="155" t="s">
        <v>384</v>
      </c>
      <c r="B285" s="156">
        <v>43611</v>
      </c>
      <c r="C285" s="155" t="s">
        <v>372</v>
      </c>
      <c r="D285" s="157">
        <v>450</v>
      </c>
      <c r="E285" s="155">
        <v>4</v>
      </c>
      <c r="F285" s="157">
        <f t="shared" si="4"/>
        <v>1800</v>
      </c>
    </row>
    <row r="286" spans="1:6">
      <c r="A286" s="155" t="s">
        <v>383</v>
      </c>
      <c r="B286" s="156">
        <v>43613</v>
      </c>
      <c r="C286" s="155" t="s">
        <v>381</v>
      </c>
      <c r="D286" s="157">
        <v>600</v>
      </c>
      <c r="E286" s="155">
        <v>3</v>
      </c>
      <c r="F286" s="157">
        <f t="shared" si="4"/>
        <v>1800</v>
      </c>
    </row>
    <row r="287" spans="1:6">
      <c r="A287" s="155" t="s">
        <v>384</v>
      </c>
      <c r="B287" s="156">
        <v>43614</v>
      </c>
      <c r="C287" s="155" t="s">
        <v>385</v>
      </c>
      <c r="D287" s="157">
        <v>1800</v>
      </c>
      <c r="E287" s="155">
        <v>2</v>
      </c>
      <c r="F287" s="157">
        <f t="shared" si="4"/>
        <v>3600</v>
      </c>
    </row>
    <row r="288" spans="1:6">
      <c r="A288" s="155" t="s">
        <v>159</v>
      </c>
      <c r="B288" s="156">
        <v>43614</v>
      </c>
      <c r="C288" s="155" t="s">
        <v>73</v>
      </c>
      <c r="D288" s="157">
        <v>6000</v>
      </c>
      <c r="E288" s="155">
        <v>1</v>
      </c>
      <c r="F288" s="157">
        <f t="shared" si="4"/>
        <v>6000</v>
      </c>
    </row>
    <row r="289" spans="1:6">
      <c r="A289" s="155" t="s">
        <v>386</v>
      </c>
      <c r="B289" s="156">
        <v>43615</v>
      </c>
      <c r="C289" s="155" t="s">
        <v>381</v>
      </c>
      <c r="D289" s="157">
        <v>600</v>
      </c>
      <c r="E289" s="155">
        <v>3</v>
      </c>
      <c r="F289" s="157">
        <f t="shared" si="4"/>
        <v>1800</v>
      </c>
    </row>
    <row r="290" spans="1:6">
      <c r="A290" s="155" t="s">
        <v>383</v>
      </c>
      <c r="B290" s="156">
        <v>43615</v>
      </c>
      <c r="C290" s="155" t="s">
        <v>372</v>
      </c>
      <c r="D290" s="157">
        <v>450</v>
      </c>
      <c r="E290" s="155">
        <v>3</v>
      </c>
      <c r="F290" s="157">
        <f t="shared" si="4"/>
        <v>1350</v>
      </c>
    </row>
    <row r="291" spans="1:6">
      <c r="A291" s="155" t="s">
        <v>386</v>
      </c>
      <c r="B291" s="156">
        <v>43616</v>
      </c>
      <c r="C291" s="155" t="s">
        <v>381</v>
      </c>
      <c r="D291" s="157">
        <v>600</v>
      </c>
      <c r="E291" s="155">
        <v>3</v>
      </c>
      <c r="F291" s="157">
        <f t="shared" si="4"/>
        <v>1800</v>
      </c>
    </row>
    <row r="292" spans="1:6">
      <c r="A292" s="155" t="s">
        <v>380</v>
      </c>
      <c r="B292" s="156">
        <v>43616</v>
      </c>
      <c r="C292" s="155" t="s">
        <v>73</v>
      </c>
      <c r="D292" s="157">
        <v>6000</v>
      </c>
      <c r="E292" s="155">
        <v>2</v>
      </c>
      <c r="F292" s="157">
        <f t="shared" si="4"/>
        <v>12000</v>
      </c>
    </row>
    <row r="293" spans="1:6">
      <c r="A293" s="155" t="s">
        <v>378</v>
      </c>
      <c r="B293" s="156">
        <v>43617</v>
      </c>
      <c r="C293" s="155" t="s">
        <v>390</v>
      </c>
      <c r="D293" s="157">
        <v>300</v>
      </c>
      <c r="E293" s="155">
        <v>4</v>
      </c>
      <c r="F293" s="157">
        <f t="shared" si="4"/>
        <v>1200</v>
      </c>
    </row>
    <row r="294" spans="1:6">
      <c r="A294" s="155" t="s">
        <v>380</v>
      </c>
      <c r="B294" s="156">
        <v>43617</v>
      </c>
      <c r="C294" s="155" t="s">
        <v>381</v>
      </c>
      <c r="D294" s="157">
        <v>600</v>
      </c>
      <c r="E294" s="155">
        <v>3</v>
      </c>
      <c r="F294" s="157">
        <f t="shared" si="4"/>
        <v>1800</v>
      </c>
    </row>
    <row r="295" spans="1:6">
      <c r="A295" s="155" t="s">
        <v>159</v>
      </c>
      <c r="B295" s="156">
        <v>43617</v>
      </c>
      <c r="C295" s="155" t="s">
        <v>381</v>
      </c>
      <c r="D295" s="157">
        <v>600</v>
      </c>
      <c r="E295" s="155">
        <v>4</v>
      </c>
      <c r="F295" s="157">
        <f t="shared" si="4"/>
        <v>2400</v>
      </c>
    </row>
    <row r="296" spans="1:6">
      <c r="A296" s="155" t="s">
        <v>383</v>
      </c>
      <c r="B296" s="156">
        <v>43617</v>
      </c>
      <c r="C296" s="155" t="s">
        <v>73</v>
      </c>
      <c r="D296" s="157">
        <v>6000</v>
      </c>
      <c r="E296" s="155">
        <v>3</v>
      </c>
      <c r="F296" s="157">
        <f t="shared" si="4"/>
        <v>18000</v>
      </c>
    </row>
    <row r="297" spans="1:6">
      <c r="A297" s="155" t="s">
        <v>159</v>
      </c>
      <c r="B297" s="156">
        <v>43618</v>
      </c>
      <c r="C297" s="155" t="s">
        <v>73</v>
      </c>
      <c r="D297" s="157">
        <v>6000</v>
      </c>
      <c r="E297" s="155">
        <v>3</v>
      </c>
      <c r="F297" s="157">
        <f t="shared" si="4"/>
        <v>18000</v>
      </c>
    </row>
    <row r="298" spans="1:6">
      <c r="A298" s="155" t="s">
        <v>386</v>
      </c>
      <c r="B298" s="156">
        <v>43618</v>
      </c>
      <c r="C298" s="155" t="s">
        <v>385</v>
      </c>
      <c r="D298" s="157">
        <v>1800</v>
      </c>
      <c r="E298" s="155">
        <v>4</v>
      </c>
      <c r="F298" s="157">
        <f t="shared" si="4"/>
        <v>7200</v>
      </c>
    </row>
    <row r="299" spans="1:6">
      <c r="A299" s="155" t="s">
        <v>159</v>
      </c>
      <c r="B299" s="156">
        <v>43618</v>
      </c>
      <c r="C299" s="155" t="s">
        <v>379</v>
      </c>
      <c r="D299" s="157">
        <v>150</v>
      </c>
      <c r="E299" s="155">
        <v>4</v>
      </c>
      <c r="F299" s="157">
        <f t="shared" si="4"/>
        <v>600</v>
      </c>
    </row>
    <row r="300" spans="1:6">
      <c r="A300" s="155" t="s">
        <v>383</v>
      </c>
      <c r="B300" s="156">
        <v>43618</v>
      </c>
      <c r="C300" s="155" t="s">
        <v>73</v>
      </c>
      <c r="D300" s="157">
        <v>6000</v>
      </c>
      <c r="E300" s="155">
        <v>2</v>
      </c>
      <c r="F300" s="157">
        <f t="shared" si="4"/>
        <v>12000</v>
      </c>
    </row>
    <row r="301" spans="1:6">
      <c r="A301" s="155" t="s">
        <v>383</v>
      </c>
      <c r="B301" s="156">
        <v>43619</v>
      </c>
      <c r="C301" s="155" t="s">
        <v>73</v>
      </c>
      <c r="D301" s="157">
        <v>6000</v>
      </c>
      <c r="E301" s="155">
        <v>2</v>
      </c>
      <c r="F301" s="157">
        <f t="shared" si="4"/>
        <v>12000</v>
      </c>
    </row>
    <row r="302" spans="1:6">
      <c r="A302" s="155" t="s">
        <v>383</v>
      </c>
      <c r="B302" s="156">
        <v>43619</v>
      </c>
      <c r="C302" s="155" t="s">
        <v>379</v>
      </c>
      <c r="D302" s="157">
        <v>150</v>
      </c>
      <c r="E302" s="155">
        <v>2</v>
      </c>
      <c r="F302" s="157">
        <f t="shared" si="4"/>
        <v>300</v>
      </c>
    </row>
    <row r="303" spans="1:6">
      <c r="A303" s="155" t="s">
        <v>383</v>
      </c>
      <c r="B303" s="156">
        <v>43619</v>
      </c>
      <c r="C303" s="155" t="s">
        <v>381</v>
      </c>
      <c r="D303" s="157">
        <v>600</v>
      </c>
      <c r="E303" s="155">
        <v>2</v>
      </c>
      <c r="F303" s="157">
        <f t="shared" si="4"/>
        <v>1200</v>
      </c>
    </row>
    <row r="304" spans="1:6">
      <c r="A304" s="155" t="s">
        <v>378</v>
      </c>
      <c r="B304" s="156">
        <v>43620</v>
      </c>
      <c r="C304" s="155" t="s">
        <v>372</v>
      </c>
      <c r="D304" s="157">
        <v>450</v>
      </c>
      <c r="E304" s="155">
        <v>3</v>
      </c>
      <c r="F304" s="157">
        <f t="shared" si="4"/>
        <v>1350</v>
      </c>
    </row>
    <row r="305" spans="1:6">
      <c r="A305" s="155" t="s">
        <v>378</v>
      </c>
      <c r="B305" s="156">
        <v>43620</v>
      </c>
      <c r="C305" s="155" t="s">
        <v>381</v>
      </c>
      <c r="D305" s="157">
        <v>600</v>
      </c>
      <c r="E305" s="155">
        <v>1</v>
      </c>
      <c r="F305" s="157">
        <f t="shared" si="4"/>
        <v>600</v>
      </c>
    </row>
    <row r="306" spans="1:6">
      <c r="A306" s="155" t="s">
        <v>386</v>
      </c>
      <c r="B306" s="156">
        <v>43620</v>
      </c>
      <c r="C306" s="155" t="s">
        <v>379</v>
      </c>
      <c r="D306" s="157">
        <v>150</v>
      </c>
      <c r="E306" s="155">
        <v>4</v>
      </c>
      <c r="F306" s="157">
        <f t="shared" si="4"/>
        <v>600</v>
      </c>
    </row>
    <row r="307" spans="1:6">
      <c r="A307" s="155" t="s">
        <v>378</v>
      </c>
      <c r="B307" s="156">
        <v>43620</v>
      </c>
      <c r="C307" s="155" t="s">
        <v>73</v>
      </c>
      <c r="D307" s="157">
        <v>6000</v>
      </c>
      <c r="E307" s="155">
        <v>4</v>
      </c>
      <c r="F307" s="157">
        <f t="shared" si="4"/>
        <v>24000</v>
      </c>
    </row>
    <row r="308" spans="1:6">
      <c r="A308" s="155" t="s">
        <v>380</v>
      </c>
      <c r="B308" s="156">
        <v>43621</v>
      </c>
      <c r="C308" s="155" t="s">
        <v>385</v>
      </c>
      <c r="D308" s="157">
        <v>1800</v>
      </c>
      <c r="E308" s="155">
        <v>3</v>
      </c>
      <c r="F308" s="157">
        <f t="shared" si="4"/>
        <v>5400</v>
      </c>
    </row>
    <row r="309" spans="1:6">
      <c r="A309" s="155" t="s">
        <v>383</v>
      </c>
      <c r="B309" s="156">
        <v>43621</v>
      </c>
      <c r="C309" s="155" t="s">
        <v>381</v>
      </c>
      <c r="D309" s="157">
        <v>600</v>
      </c>
      <c r="E309" s="155">
        <v>3</v>
      </c>
      <c r="F309" s="157">
        <f t="shared" si="4"/>
        <v>1800</v>
      </c>
    </row>
    <row r="310" spans="1:6">
      <c r="A310" s="155" t="s">
        <v>380</v>
      </c>
      <c r="B310" s="156">
        <v>43621</v>
      </c>
      <c r="C310" s="155" t="s">
        <v>382</v>
      </c>
      <c r="D310" s="157">
        <v>200</v>
      </c>
      <c r="E310" s="155">
        <v>3</v>
      </c>
      <c r="F310" s="157">
        <f t="shared" si="4"/>
        <v>600</v>
      </c>
    </row>
    <row r="311" spans="1:6">
      <c r="A311" s="155" t="s">
        <v>380</v>
      </c>
      <c r="B311" s="156">
        <v>43622</v>
      </c>
      <c r="C311" s="155" t="s">
        <v>390</v>
      </c>
      <c r="D311" s="157">
        <v>300</v>
      </c>
      <c r="E311" s="155">
        <v>3</v>
      </c>
      <c r="F311" s="157">
        <f t="shared" si="4"/>
        <v>900</v>
      </c>
    </row>
    <row r="312" spans="1:6">
      <c r="A312" s="155" t="s">
        <v>386</v>
      </c>
      <c r="B312" s="156">
        <v>43622</v>
      </c>
      <c r="C312" s="155" t="s">
        <v>381</v>
      </c>
      <c r="D312" s="157">
        <v>600</v>
      </c>
      <c r="E312" s="155">
        <v>2</v>
      </c>
      <c r="F312" s="157">
        <f t="shared" si="4"/>
        <v>1200</v>
      </c>
    </row>
    <row r="313" spans="1:6">
      <c r="A313" s="155" t="s">
        <v>386</v>
      </c>
      <c r="B313" s="156">
        <v>43622</v>
      </c>
      <c r="C313" s="155" t="s">
        <v>390</v>
      </c>
      <c r="D313" s="157">
        <v>300</v>
      </c>
      <c r="E313" s="155">
        <v>3</v>
      </c>
      <c r="F313" s="157">
        <f t="shared" si="4"/>
        <v>900</v>
      </c>
    </row>
    <row r="314" spans="1:6">
      <c r="A314" s="155" t="s">
        <v>384</v>
      </c>
      <c r="B314" s="156">
        <v>43623</v>
      </c>
      <c r="C314" s="155" t="s">
        <v>379</v>
      </c>
      <c r="D314" s="157">
        <v>150</v>
      </c>
      <c r="E314" s="155">
        <v>4</v>
      </c>
      <c r="F314" s="157">
        <f t="shared" si="4"/>
        <v>600</v>
      </c>
    </row>
    <row r="315" spans="1:6">
      <c r="A315" s="155" t="s">
        <v>380</v>
      </c>
      <c r="B315" s="156">
        <v>43623</v>
      </c>
      <c r="C315" s="155" t="s">
        <v>382</v>
      </c>
      <c r="D315" s="157">
        <v>200</v>
      </c>
      <c r="E315" s="155">
        <v>1</v>
      </c>
      <c r="F315" s="157">
        <f t="shared" si="4"/>
        <v>200</v>
      </c>
    </row>
    <row r="316" spans="1:6">
      <c r="A316" s="155" t="s">
        <v>383</v>
      </c>
      <c r="B316" s="156">
        <v>43623</v>
      </c>
      <c r="C316" s="155" t="s">
        <v>382</v>
      </c>
      <c r="D316" s="157">
        <v>200</v>
      </c>
      <c r="E316" s="155">
        <v>2</v>
      </c>
      <c r="F316" s="157">
        <f t="shared" si="4"/>
        <v>400</v>
      </c>
    </row>
    <row r="317" spans="1:6">
      <c r="A317" s="155" t="s">
        <v>159</v>
      </c>
      <c r="B317" s="156">
        <v>43624</v>
      </c>
      <c r="C317" s="155" t="s">
        <v>385</v>
      </c>
      <c r="D317" s="157">
        <v>1800</v>
      </c>
      <c r="E317" s="155">
        <v>4</v>
      </c>
      <c r="F317" s="157">
        <f t="shared" si="4"/>
        <v>7200</v>
      </c>
    </row>
    <row r="318" spans="1:6">
      <c r="A318" s="155" t="s">
        <v>383</v>
      </c>
      <c r="B318" s="156">
        <v>43625</v>
      </c>
      <c r="C318" s="155" t="s">
        <v>379</v>
      </c>
      <c r="D318" s="157">
        <v>150</v>
      </c>
      <c r="E318" s="155">
        <v>1</v>
      </c>
      <c r="F318" s="157">
        <f t="shared" si="4"/>
        <v>150</v>
      </c>
    </row>
    <row r="319" spans="1:6">
      <c r="A319" s="155" t="s">
        <v>386</v>
      </c>
      <c r="B319" s="156">
        <v>43625</v>
      </c>
      <c r="C319" s="155" t="s">
        <v>73</v>
      </c>
      <c r="D319" s="157">
        <v>6000</v>
      </c>
      <c r="E319" s="155">
        <v>4</v>
      </c>
      <c r="F319" s="157">
        <f t="shared" si="4"/>
        <v>24000</v>
      </c>
    </row>
    <row r="320" spans="1:6">
      <c r="A320" s="155" t="s">
        <v>380</v>
      </c>
      <c r="B320" s="156">
        <v>43625</v>
      </c>
      <c r="C320" s="155" t="s">
        <v>381</v>
      </c>
      <c r="D320" s="157">
        <v>600</v>
      </c>
      <c r="E320" s="155">
        <v>4</v>
      </c>
      <c r="F320" s="157">
        <f t="shared" si="4"/>
        <v>2400</v>
      </c>
    </row>
    <row r="321" spans="1:6">
      <c r="A321" s="155" t="s">
        <v>159</v>
      </c>
      <c r="B321" s="156">
        <v>43626</v>
      </c>
      <c r="C321" s="155" t="s">
        <v>372</v>
      </c>
      <c r="D321" s="157">
        <v>450</v>
      </c>
      <c r="E321" s="155">
        <v>2</v>
      </c>
      <c r="F321" s="157">
        <f t="shared" si="4"/>
        <v>900</v>
      </c>
    </row>
    <row r="322" spans="1:6">
      <c r="A322" s="155" t="s">
        <v>380</v>
      </c>
      <c r="B322" s="156">
        <v>43628</v>
      </c>
      <c r="C322" s="155" t="s">
        <v>382</v>
      </c>
      <c r="D322" s="157">
        <v>200</v>
      </c>
      <c r="E322" s="155">
        <v>4</v>
      </c>
      <c r="F322" s="157">
        <f t="shared" si="4"/>
        <v>800</v>
      </c>
    </row>
    <row r="323" spans="1:6">
      <c r="A323" s="155" t="s">
        <v>386</v>
      </c>
      <c r="B323" s="156">
        <v>43628</v>
      </c>
      <c r="C323" s="155" t="s">
        <v>382</v>
      </c>
      <c r="D323" s="157">
        <v>200</v>
      </c>
      <c r="E323" s="155">
        <v>3</v>
      </c>
      <c r="F323" s="157">
        <f t="shared" si="4"/>
        <v>600</v>
      </c>
    </row>
    <row r="324" spans="1:6">
      <c r="A324" s="155" t="s">
        <v>159</v>
      </c>
      <c r="B324" s="156">
        <v>43628</v>
      </c>
      <c r="C324" s="155" t="s">
        <v>73</v>
      </c>
      <c r="D324" s="157">
        <v>6000</v>
      </c>
      <c r="E324" s="155">
        <v>4</v>
      </c>
      <c r="F324" s="157">
        <f t="shared" si="4"/>
        <v>24000</v>
      </c>
    </row>
    <row r="325" spans="1:6">
      <c r="A325" s="155" t="s">
        <v>378</v>
      </c>
      <c r="B325" s="156">
        <v>43629</v>
      </c>
      <c r="C325" s="155" t="s">
        <v>381</v>
      </c>
      <c r="D325" s="157">
        <v>600</v>
      </c>
      <c r="E325" s="155">
        <v>3</v>
      </c>
      <c r="F325" s="157">
        <f t="shared" si="4"/>
        <v>1800</v>
      </c>
    </row>
    <row r="326" spans="1:6">
      <c r="A326" s="155" t="s">
        <v>380</v>
      </c>
      <c r="B326" s="156">
        <v>43631</v>
      </c>
      <c r="C326" s="155" t="s">
        <v>381</v>
      </c>
      <c r="D326" s="157">
        <v>600</v>
      </c>
      <c r="E326" s="155">
        <v>3</v>
      </c>
      <c r="F326" s="157">
        <f t="shared" si="4"/>
        <v>1800</v>
      </c>
    </row>
    <row r="327" spans="1:6">
      <c r="A327" s="155" t="s">
        <v>378</v>
      </c>
      <c r="B327" s="156">
        <v>43631</v>
      </c>
      <c r="C327" s="155" t="s">
        <v>381</v>
      </c>
      <c r="D327" s="157">
        <v>600</v>
      </c>
      <c r="E327" s="155">
        <v>1</v>
      </c>
      <c r="F327" s="157">
        <f t="shared" si="4"/>
        <v>600</v>
      </c>
    </row>
    <row r="328" spans="1:6">
      <c r="A328" s="155" t="s">
        <v>386</v>
      </c>
      <c r="B328" s="156">
        <v>43631</v>
      </c>
      <c r="C328" s="155" t="s">
        <v>372</v>
      </c>
      <c r="D328" s="157">
        <v>450</v>
      </c>
      <c r="E328" s="155">
        <v>1</v>
      </c>
      <c r="F328" s="157">
        <f t="shared" si="4"/>
        <v>450</v>
      </c>
    </row>
    <row r="329" spans="1:6">
      <c r="A329" s="155" t="s">
        <v>380</v>
      </c>
      <c r="B329" s="156">
        <v>43631</v>
      </c>
      <c r="C329" s="155" t="s">
        <v>390</v>
      </c>
      <c r="D329" s="157">
        <v>300</v>
      </c>
      <c r="E329" s="155">
        <v>2</v>
      </c>
      <c r="F329" s="157">
        <f t="shared" ref="F329:F392" si="5">E329*D329</f>
        <v>600</v>
      </c>
    </row>
    <row r="330" spans="1:6">
      <c r="A330" s="155" t="s">
        <v>383</v>
      </c>
      <c r="B330" s="156">
        <v>43632</v>
      </c>
      <c r="C330" s="155" t="s">
        <v>385</v>
      </c>
      <c r="D330" s="157">
        <v>1800</v>
      </c>
      <c r="E330" s="155">
        <v>4</v>
      </c>
      <c r="F330" s="157">
        <f t="shared" si="5"/>
        <v>7200</v>
      </c>
    </row>
    <row r="331" spans="1:6">
      <c r="A331" s="155" t="s">
        <v>378</v>
      </c>
      <c r="B331" s="156">
        <v>43632</v>
      </c>
      <c r="C331" s="155" t="s">
        <v>379</v>
      </c>
      <c r="D331" s="157">
        <v>150</v>
      </c>
      <c r="E331" s="155">
        <v>1</v>
      </c>
      <c r="F331" s="157">
        <f t="shared" si="5"/>
        <v>150</v>
      </c>
    </row>
    <row r="332" spans="1:6">
      <c r="A332" s="155" t="s">
        <v>386</v>
      </c>
      <c r="B332" s="156">
        <v>43633</v>
      </c>
      <c r="C332" s="155" t="s">
        <v>381</v>
      </c>
      <c r="D332" s="157">
        <v>600</v>
      </c>
      <c r="E332" s="155">
        <v>3</v>
      </c>
      <c r="F332" s="157">
        <f t="shared" si="5"/>
        <v>1800</v>
      </c>
    </row>
    <row r="333" spans="1:6">
      <c r="A333" s="155" t="s">
        <v>159</v>
      </c>
      <c r="B333" s="156">
        <v>43633</v>
      </c>
      <c r="C333" s="155" t="s">
        <v>382</v>
      </c>
      <c r="D333" s="157">
        <v>200</v>
      </c>
      <c r="E333" s="155">
        <v>4</v>
      </c>
      <c r="F333" s="157">
        <f t="shared" si="5"/>
        <v>800</v>
      </c>
    </row>
    <row r="334" spans="1:6">
      <c r="A334" s="155" t="s">
        <v>380</v>
      </c>
      <c r="B334" s="156">
        <v>43633</v>
      </c>
      <c r="C334" s="155" t="s">
        <v>73</v>
      </c>
      <c r="D334" s="157">
        <v>6000</v>
      </c>
      <c r="E334" s="155">
        <v>4</v>
      </c>
      <c r="F334" s="157">
        <f t="shared" si="5"/>
        <v>24000</v>
      </c>
    </row>
    <row r="335" spans="1:6">
      <c r="A335" s="155" t="s">
        <v>159</v>
      </c>
      <c r="B335" s="156">
        <v>43634</v>
      </c>
      <c r="C335" s="155" t="s">
        <v>385</v>
      </c>
      <c r="D335" s="157">
        <v>1800</v>
      </c>
      <c r="E335" s="155">
        <v>3</v>
      </c>
      <c r="F335" s="157">
        <f t="shared" si="5"/>
        <v>5400</v>
      </c>
    </row>
    <row r="336" spans="1:6">
      <c r="A336" s="155" t="s">
        <v>384</v>
      </c>
      <c r="B336" s="156">
        <v>43634</v>
      </c>
      <c r="C336" s="155" t="s">
        <v>385</v>
      </c>
      <c r="D336" s="157">
        <v>1800</v>
      </c>
      <c r="E336" s="155">
        <v>3</v>
      </c>
      <c r="F336" s="157">
        <f t="shared" si="5"/>
        <v>5400</v>
      </c>
    </row>
    <row r="337" spans="1:6">
      <c r="A337" s="155" t="s">
        <v>386</v>
      </c>
      <c r="B337" s="156">
        <v>43634</v>
      </c>
      <c r="C337" s="155" t="s">
        <v>73</v>
      </c>
      <c r="D337" s="157">
        <v>6000</v>
      </c>
      <c r="E337" s="155">
        <v>1</v>
      </c>
      <c r="F337" s="157">
        <f t="shared" si="5"/>
        <v>6000</v>
      </c>
    </row>
    <row r="338" spans="1:6">
      <c r="A338" s="155" t="s">
        <v>383</v>
      </c>
      <c r="B338" s="156">
        <v>43634</v>
      </c>
      <c r="C338" s="155" t="s">
        <v>381</v>
      </c>
      <c r="D338" s="157">
        <v>600</v>
      </c>
      <c r="E338" s="155">
        <v>3</v>
      </c>
      <c r="F338" s="157">
        <f t="shared" si="5"/>
        <v>1800</v>
      </c>
    </row>
    <row r="339" spans="1:6">
      <c r="A339" s="155" t="s">
        <v>159</v>
      </c>
      <c r="B339" s="156">
        <v>43635</v>
      </c>
      <c r="C339" s="155" t="s">
        <v>73</v>
      </c>
      <c r="D339" s="157">
        <v>6000</v>
      </c>
      <c r="E339" s="155">
        <v>4</v>
      </c>
      <c r="F339" s="157">
        <f t="shared" si="5"/>
        <v>24000</v>
      </c>
    </row>
    <row r="340" spans="1:6">
      <c r="A340" s="155" t="s">
        <v>386</v>
      </c>
      <c r="B340" s="156">
        <v>43636</v>
      </c>
      <c r="C340" s="155" t="s">
        <v>385</v>
      </c>
      <c r="D340" s="157">
        <v>1800</v>
      </c>
      <c r="E340" s="155">
        <v>4</v>
      </c>
      <c r="F340" s="157">
        <f t="shared" si="5"/>
        <v>7200</v>
      </c>
    </row>
    <row r="341" spans="1:6">
      <c r="A341" s="155" t="s">
        <v>384</v>
      </c>
      <c r="B341" s="156">
        <v>43638</v>
      </c>
      <c r="C341" s="155" t="s">
        <v>372</v>
      </c>
      <c r="D341" s="157">
        <v>450</v>
      </c>
      <c r="E341" s="155">
        <v>2</v>
      </c>
      <c r="F341" s="157">
        <f t="shared" si="5"/>
        <v>900</v>
      </c>
    </row>
    <row r="342" spans="1:6">
      <c r="A342" s="155" t="s">
        <v>380</v>
      </c>
      <c r="B342" s="156">
        <v>43639</v>
      </c>
      <c r="C342" s="155" t="s">
        <v>390</v>
      </c>
      <c r="D342" s="157">
        <v>300</v>
      </c>
      <c r="E342" s="155">
        <v>1</v>
      </c>
      <c r="F342" s="157">
        <f t="shared" si="5"/>
        <v>300</v>
      </c>
    </row>
    <row r="343" spans="1:6">
      <c r="A343" s="155" t="s">
        <v>386</v>
      </c>
      <c r="B343" s="156">
        <v>43641</v>
      </c>
      <c r="C343" s="155" t="s">
        <v>385</v>
      </c>
      <c r="D343" s="157">
        <v>1800</v>
      </c>
      <c r="E343" s="155">
        <v>3</v>
      </c>
      <c r="F343" s="157">
        <f t="shared" si="5"/>
        <v>5400</v>
      </c>
    </row>
    <row r="344" spans="1:6">
      <c r="A344" s="155" t="s">
        <v>383</v>
      </c>
      <c r="B344" s="156">
        <v>43642</v>
      </c>
      <c r="C344" s="155" t="s">
        <v>385</v>
      </c>
      <c r="D344" s="157">
        <v>1800</v>
      </c>
      <c r="E344" s="155">
        <v>3</v>
      </c>
      <c r="F344" s="157">
        <f t="shared" si="5"/>
        <v>5400</v>
      </c>
    </row>
    <row r="345" spans="1:6">
      <c r="A345" s="155" t="s">
        <v>383</v>
      </c>
      <c r="B345" s="156">
        <v>43643</v>
      </c>
      <c r="C345" s="155" t="s">
        <v>381</v>
      </c>
      <c r="D345" s="157">
        <v>600</v>
      </c>
      <c r="E345" s="155">
        <v>1</v>
      </c>
      <c r="F345" s="157">
        <f t="shared" si="5"/>
        <v>600</v>
      </c>
    </row>
    <row r="346" spans="1:6">
      <c r="A346" s="155" t="s">
        <v>380</v>
      </c>
      <c r="B346" s="156">
        <v>43644</v>
      </c>
      <c r="C346" s="155" t="s">
        <v>390</v>
      </c>
      <c r="D346" s="157">
        <v>300</v>
      </c>
      <c r="E346" s="155">
        <v>2</v>
      </c>
      <c r="F346" s="157">
        <f t="shared" si="5"/>
        <v>600</v>
      </c>
    </row>
    <row r="347" spans="1:6">
      <c r="A347" s="155" t="s">
        <v>384</v>
      </c>
      <c r="B347" s="156">
        <v>43644</v>
      </c>
      <c r="C347" s="155" t="s">
        <v>73</v>
      </c>
      <c r="D347" s="157">
        <v>6000</v>
      </c>
      <c r="E347" s="155">
        <v>3</v>
      </c>
      <c r="F347" s="157">
        <f t="shared" si="5"/>
        <v>18000</v>
      </c>
    </row>
    <row r="348" spans="1:6">
      <c r="A348" s="155" t="s">
        <v>159</v>
      </c>
      <c r="B348" s="156">
        <v>43645</v>
      </c>
      <c r="C348" s="155" t="s">
        <v>372</v>
      </c>
      <c r="D348" s="157">
        <v>450</v>
      </c>
      <c r="E348" s="155">
        <v>1</v>
      </c>
      <c r="F348" s="157">
        <f t="shared" si="5"/>
        <v>450</v>
      </c>
    </row>
    <row r="349" spans="1:6">
      <c r="A349" s="155" t="s">
        <v>383</v>
      </c>
      <c r="B349" s="156">
        <v>43645</v>
      </c>
      <c r="C349" s="155" t="s">
        <v>372</v>
      </c>
      <c r="D349" s="157">
        <v>450</v>
      </c>
      <c r="E349" s="155">
        <v>3</v>
      </c>
      <c r="F349" s="157">
        <f t="shared" si="5"/>
        <v>1350</v>
      </c>
    </row>
    <row r="350" spans="1:6">
      <c r="A350" s="155" t="s">
        <v>159</v>
      </c>
      <c r="B350" s="156">
        <v>43645</v>
      </c>
      <c r="C350" s="155" t="s">
        <v>73</v>
      </c>
      <c r="D350" s="157">
        <v>6000</v>
      </c>
      <c r="E350" s="155">
        <v>1</v>
      </c>
      <c r="F350" s="157">
        <f t="shared" si="5"/>
        <v>6000</v>
      </c>
    </row>
    <row r="351" spans="1:6">
      <c r="A351" s="155" t="s">
        <v>384</v>
      </c>
      <c r="B351" s="156">
        <v>43645</v>
      </c>
      <c r="C351" s="155" t="s">
        <v>382</v>
      </c>
      <c r="D351" s="157">
        <v>200</v>
      </c>
      <c r="E351" s="155">
        <v>3</v>
      </c>
      <c r="F351" s="157">
        <f t="shared" si="5"/>
        <v>600</v>
      </c>
    </row>
    <row r="352" spans="1:6">
      <c r="A352" s="155" t="s">
        <v>383</v>
      </c>
      <c r="B352" s="156">
        <v>43646</v>
      </c>
      <c r="C352" s="155" t="s">
        <v>390</v>
      </c>
      <c r="D352" s="157">
        <v>300</v>
      </c>
      <c r="E352" s="155">
        <v>1</v>
      </c>
      <c r="F352" s="157">
        <f t="shared" si="5"/>
        <v>300</v>
      </c>
    </row>
    <row r="353" spans="1:6">
      <c r="A353" s="155" t="s">
        <v>378</v>
      </c>
      <c r="B353" s="156">
        <v>43646</v>
      </c>
      <c r="C353" s="155" t="s">
        <v>379</v>
      </c>
      <c r="D353" s="157">
        <v>150</v>
      </c>
      <c r="E353" s="155">
        <v>4</v>
      </c>
      <c r="F353" s="157">
        <f t="shared" si="5"/>
        <v>600</v>
      </c>
    </row>
    <row r="354" spans="1:6">
      <c r="A354" s="155" t="s">
        <v>378</v>
      </c>
      <c r="B354" s="156">
        <v>43646</v>
      </c>
      <c r="C354" s="155" t="s">
        <v>382</v>
      </c>
      <c r="D354" s="157">
        <v>200</v>
      </c>
      <c r="E354" s="155">
        <v>4</v>
      </c>
      <c r="F354" s="157">
        <f t="shared" si="5"/>
        <v>800</v>
      </c>
    </row>
    <row r="355" spans="1:6">
      <c r="A355" s="155" t="s">
        <v>378</v>
      </c>
      <c r="B355" s="156">
        <v>43646</v>
      </c>
      <c r="C355" s="155" t="s">
        <v>379</v>
      </c>
      <c r="D355" s="157">
        <v>150</v>
      </c>
      <c r="E355" s="155">
        <v>1</v>
      </c>
      <c r="F355" s="157">
        <f t="shared" si="5"/>
        <v>150</v>
      </c>
    </row>
    <row r="356" spans="1:6">
      <c r="A356" s="155" t="s">
        <v>159</v>
      </c>
      <c r="B356" s="156">
        <v>43647</v>
      </c>
      <c r="C356" s="155" t="s">
        <v>379</v>
      </c>
      <c r="D356" s="157">
        <v>150</v>
      </c>
      <c r="E356" s="155">
        <v>4</v>
      </c>
      <c r="F356" s="157">
        <f t="shared" si="5"/>
        <v>600</v>
      </c>
    </row>
    <row r="357" spans="1:6">
      <c r="A357" s="155" t="s">
        <v>378</v>
      </c>
      <c r="B357" s="156">
        <v>43647</v>
      </c>
      <c r="C357" s="155" t="s">
        <v>382</v>
      </c>
      <c r="D357" s="157">
        <v>200</v>
      </c>
      <c r="E357" s="155">
        <v>1</v>
      </c>
      <c r="F357" s="157">
        <f t="shared" si="5"/>
        <v>200</v>
      </c>
    </row>
    <row r="358" spans="1:6">
      <c r="A358" s="155" t="s">
        <v>386</v>
      </c>
      <c r="B358" s="156">
        <v>43647</v>
      </c>
      <c r="C358" s="155" t="s">
        <v>385</v>
      </c>
      <c r="D358" s="157">
        <v>1800</v>
      </c>
      <c r="E358" s="155">
        <v>1</v>
      </c>
      <c r="F358" s="157">
        <f t="shared" si="5"/>
        <v>1800</v>
      </c>
    </row>
    <row r="359" spans="1:6">
      <c r="A359" s="155" t="s">
        <v>159</v>
      </c>
      <c r="B359" s="156">
        <v>43648</v>
      </c>
      <c r="C359" s="155" t="s">
        <v>385</v>
      </c>
      <c r="D359" s="157">
        <v>1800</v>
      </c>
      <c r="E359" s="155">
        <v>3</v>
      </c>
      <c r="F359" s="157">
        <f t="shared" si="5"/>
        <v>5400</v>
      </c>
    </row>
    <row r="360" spans="1:6">
      <c r="A360" s="155" t="s">
        <v>380</v>
      </c>
      <c r="B360" s="156">
        <v>43648</v>
      </c>
      <c r="C360" s="155" t="s">
        <v>381</v>
      </c>
      <c r="D360" s="157">
        <v>600</v>
      </c>
      <c r="E360" s="155">
        <v>2</v>
      </c>
      <c r="F360" s="157">
        <f t="shared" si="5"/>
        <v>1200</v>
      </c>
    </row>
    <row r="361" spans="1:6">
      <c r="A361" s="155" t="s">
        <v>384</v>
      </c>
      <c r="B361" s="156">
        <v>43648</v>
      </c>
      <c r="C361" s="155" t="s">
        <v>382</v>
      </c>
      <c r="D361" s="157">
        <v>200</v>
      </c>
      <c r="E361" s="155">
        <v>1</v>
      </c>
      <c r="F361" s="157">
        <f t="shared" si="5"/>
        <v>200</v>
      </c>
    </row>
    <row r="362" spans="1:6">
      <c r="A362" s="155" t="s">
        <v>378</v>
      </c>
      <c r="B362" s="156">
        <v>43648</v>
      </c>
      <c r="C362" s="155" t="s">
        <v>390</v>
      </c>
      <c r="D362" s="157">
        <v>300</v>
      </c>
      <c r="E362" s="155">
        <v>2</v>
      </c>
      <c r="F362" s="157">
        <f t="shared" si="5"/>
        <v>600</v>
      </c>
    </row>
    <row r="363" spans="1:6">
      <c r="A363" s="155" t="s">
        <v>378</v>
      </c>
      <c r="B363" s="156">
        <v>43648</v>
      </c>
      <c r="C363" s="155" t="s">
        <v>385</v>
      </c>
      <c r="D363" s="157">
        <v>1800</v>
      </c>
      <c r="E363" s="155">
        <v>2</v>
      </c>
      <c r="F363" s="157">
        <f t="shared" si="5"/>
        <v>3600</v>
      </c>
    </row>
    <row r="364" spans="1:6">
      <c r="A364" s="155" t="s">
        <v>378</v>
      </c>
      <c r="B364" s="156">
        <v>43649</v>
      </c>
      <c r="C364" s="155" t="s">
        <v>379</v>
      </c>
      <c r="D364" s="157">
        <v>150</v>
      </c>
      <c r="E364" s="155">
        <v>3</v>
      </c>
      <c r="F364" s="157">
        <f t="shared" si="5"/>
        <v>450</v>
      </c>
    </row>
    <row r="365" spans="1:6">
      <c r="A365" s="155" t="s">
        <v>386</v>
      </c>
      <c r="B365" s="156">
        <v>43650</v>
      </c>
      <c r="C365" s="155" t="s">
        <v>372</v>
      </c>
      <c r="D365" s="157">
        <v>450</v>
      </c>
      <c r="E365" s="155">
        <v>3</v>
      </c>
      <c r="F365" s="157">
        <f t="shared" si="5"/>
        <v>1350</v>
      </c>
    </row>
    <row r="366" spans="1:6">
      <c r="A366" s="155" t="s">
        <v>386</v>
      </c>
      <c r="B366" s="156">
        <v>43651</v>
      </c>
      <c r="C366" s="155" t="s">
        <v>372</v>
      </c>
      <c r="D366" s="157">
        <v>450</v>
      </c>
      <c r="E366" s="155">
        <v>1</v>
      </c>
      <c r="F366" s="157">
        <f t="shared" si="5"/>
        <v>450</v>
      </c>
    </row>
    <row r="367" spans="1:6">
      <c r="A367" s="155" t="s">
        <v>386</v>
      </c>
      <c r="B367" s="156">
        <v>43651</v>
      </c>
      <c r="C367" s="155" t="s">
        <v>73</v>
      </c>
      <c r="D367" s="157">
        <v>6000</v>
      </c>
      <c r="E367" s="155">
        <v>2</v>
      </c>
      <c r="F367" s="157">
        <f t="shared" si="5"/>
        <v>12000</v>
      </c>
    </row>
    <row r="368" spans="1:6">
      <c r="A368" s="155" t="s">
        <v>159</v>
      </c>
      <c r="B368" s="156">
        <v>43652</v>
      </c>
      <c r="C368" s="155" t="s">
        <v>381</v>
      </c>
      <c r="D368" s="157">
        <v>600</v>
      </c>
      <c r="E368" s="155">
        <v>2</v>
      </c>
      <c r="F368" s="157">
        <f t="shared" si="5"/>
        <v>1200</v>
      </c>
    </row>
    <row r="369" spans="1:6">
      <c r="A369" s="155" t="s">
        <v>384</v>
      </c>
      <c r="B369" s="156">
        <v>43653</v>
      </c>
      <c r="C369" s="155" t="s">
        <v>382</v>
      </c>
      <c r="D369" s="157">
        <v>200</v>
      </c>
      <c r="E369" s="155">
        <v>3</v>
      </c>
      <c r="F369" s="157">
        <f t="shared" si="5"/>
        <v>600</v>
      </c>
    </row>
    <row r="370" spans="1:6">
      <c r="A370" s="155" t="s">
        <v>380</v>
      </c>
      <c r="B370" s="156">
        <v>43653</v>
      </c>
      <c r="C370" s="155" t="s">
        <v>372</v>
      </c>
      <c r="D370" s="157">
        <v>450</v>
      </c>
      <c r="E370" s="155">
        <v>3</v>
      </c>
      <c r="F370" s="157">
        <f t="shared" si="5"/>
        <v>1350</v>
      </c>
    </row>
    <row r="371" spans="1:6">
      <c r="A371" s="155" t="s">
        <v>383</v>
      </c>
      <c r="B371" s="156">
        <v>43653</v>
      </c>
      <c r="C371" s="155" t="s">
        <v>390</v>
      </c>
      <c r="D371" s="157">
        <v>300</v>
      </c>
      <c r="E371" s="155">
        <v>2</v>
      </c>
      <c r="F371" s="157">
        <f t="shared" si="5"/>
        <v>600</v>
      </c>
    </row>
    <row r="372" spans="1:6">
      <c r="A372" s="155" t="s">
        <v>383</v>
      </c>
      <c r="B372" s="156">
        <v>43653</v>
      </c>
      <c r="C372" s="155" t="s">
        <v>385</v>
      </c>
      <c r="D372" s="157">
        <v>1800</v>
      </c>
      <c r="E372" s="155">
        <v>3</v>
      </c>
      <c r="F372" s="157">
        <f t="shared" si="5"/>
        <v>5400</v>
      </c>
    </row>
    <row r="373" spans="1:6">
      <c r="A373" s="155" t="s">
        <v>159</v>
      </c>
      <c r="B373" s="156">
        <v>43653</v>
      </c>
      <c r="C373" s="155" t="s">
        <v>372</v>
      </c>
      <c r="D373" s="157">
        <v>450</v>
      </c>
      <c r="E373" s="155">
        <v>3</v>
      </c>
      <c r="F373" s="157">
        <f t="shared" si="5"/>
        <v>1350</v>
      </c>
    </row>
    <row r="374" spans="1:6">
      <c r="A374" s="155" t="s">
        <v>159</v>
      </c>
      <c r="B374" s="156">
        <v>43654</v>
      </c>
      <c r="C374" s="155" t="s">
        <v>382</v>
      </c>
      <c r="D374" s="157">
        <v>200</v>
      </c>
      <c r="E374" s="155">
        <v>4</v>
      </c>
      <c r="F374" s="157">
        <f t="shared" si="5"/>
        <v>800</v>
      </c>
    </row>
    <row r="375" spans="1:6">
      <c r="A375" s="155" t="s">
        <v>386</v>
      </c>
      <c r="B375" s="156">
        <v>43654</v>
      </c>
      <c r="C375" s="155" t="s">
        <v>385</v>
      </c>
      <c r="D375" s="157">
        <v>1800</v>
      </c>
      <c r="E375" s="155">
        <v>1</v>
      </c>
      <c r="F375" s="157">
        <f t="shared" si="5"/>
        <v>1800</v>
      </c>
    </row>
    <row r="376" spans="1:6">
      <c r="A376" s="155" t="s">
        <v>386</v>
      </c>
      <c r="B376" s="156">
        <v>43655</v>
      </c>
      <c r="C376" s="155" t="s">
        <v>382</v>
      </c>
      <c r="D376" s="157">
        <v>200</v>
      </c>
      <c r="E376" s="155">
        <v>3</v>
      </c>
      <c r="F376" s="157">
        <f t="shared" si="5"/>
        <v>600</v>
      </c>
    </row>
    <row r="377" spans="1:6">
      <c r="A377" s="155" t="s">
        <v>386</v>
      </c>
      <c r="B377" s="156">
        <v>43655</v>
      </c>
      <c r="C377" s="155" t="s">
        <v>382</v>
      </c>
      <c r="D377" s="157">
        <v>200</v>
      </c>
      <c r="E377" s="155">
        <v>2</v>
      </c>
      <c r="F377" s="157">
        <f t="shared" si="5"/>
        <v>400</v>
      </c>
    </row>
    <row r="378" spans="1:6">
      <c r="A378" s="155" t="s">
        <v>159</v>
      </c>
      <c r="B378" s="156">
        <v>43655</v>
      </c>
      <c r="C378" s="155" t="s">
        <v>385</v>
      </c>
      <c r="D378" s="157">
        <v>1800</v>
      </c>
      <c r="E378" s="155">
        <v>4</v>
      </c>
      <c r="F378" s="157">
        <f t="shared" si="5"/>
        <v>7200</v>
      </c>
    </row>
    <row r="379" spans="1:6">
      <c r="A379" s="155" t="s">
        <v>383</v>
      </c>
      <c r="B379" s="156">
        <v>43657</v>
      </c>
      <c r="C379" s="155" t="s">
        <v>390</v>
      </c>
      <c r="D379" s="157">
        <v>300</v>
      </c>
      <c r="E379" s="155">
        <v>1</v>
      </c>
      <c r="F379" s="157">
        <f t="shared" si="5"/>
        <v>300</v>
      </c>
    </row>
    <row r="380" spans="1:6">
      <c r="A380" s="155" t="s">
        <v>378</v>
      </c>
      <c r="B380" s="156">
        <v>43657</v>
      </c>
      <c r="C380" s="155" t="s">
        <v>381</v>
      </c>
      <c r="D380" s="157">
        <v>600</v>
      </c>
      <c r="E380" s="155">
        <v>4</v>
      </c>
      <c r="F380" s="157">
        <f t="shared" si="5"/>
        <v>2400</v>
      </c>
    </row>
    <row r="381" spans="1:6">
      <c r="A381" s="155" t="s">
        <v>380</v>
      </c>
      <c r="B381" s="156">
        <v>43658</v>
      </c>
      <c r="C381" s="155" t="s">
        <v>372</v>
      </c>
      <c r="D381" s="157">
        <v>450</v>
      </c>
      <c r="E381" s="155">
        <v>4</v>
      </c>
      <c r="F381" s="157">
        <f t="shared" si="5"/>
        <v>1800</v>
      </c>
    </row>
    <row r="382" spans="1:6">
      <c r="A382" s="155" t="s">
        <v>380</v>
      </c>
      <c r="B382" s="156">
        <v>43659</v>
      </c>
      <c r="C382" s="155" t="s">
        <v>385</v>
      </c>
      <c r="D382" s="157">
        <v>1800</v>
      </c>
      <c r="E382" s="155">
        <v>1</v>
      </c>
      <c r="F382" s="157">
        <f t="shared" si="5"/>
        <v>1800</v>
      </c>
    </row>
    <row r="383" spans="1:6">
      <c r="A383" s="155" t="s">
        <v>384</v>
      </c>
      <c r="B383" s="156">
        <v>43659</v>
      </c>
      <c r="C383" s="155" t="s">
        <v>379</v>
      </c>
      <c r="D383" s="157">
        <v>150</v>
      </c>
      <c r="E383" s="155">
        <v>2</v>
      </c>
      <c r="F383" s="157">
        <f t="shared" si="5"/>
        <v>300</v>
      </c>
    </row>
    <row r="384" spans="1:6">
      <c r="A384" s="155" t="s">
        <v>384</v>
      </c>
      <c r="B384" s="156">
        <v>43660</v>
      </c>
      <c r="C384" s="155" t="s">
        <v>379</v>
      </c>
      <c r="D384" s="157">
        <v>150</v>
      </c>
      <c r="E384" s="155">
        <v>1</v>
      </c>
      <c r="F384" s="157">
        <f t="shared" si="5"/>
        <v>150</v>
      </c>
    </row>
    <row r="385" spans="1:6">
      <c r="A385" s="155" t="s">
        <v>383</v>
      </c>
      <c r="B385" s="156">
        <v>43660</v>
      </c>
      <c r="C385" s="155" t="s">
        <v>382</v>
      </c>
      <c r="D385" s="157">
        <v>200</v>
      </c>
      <c r="E385" s="155">
        <v>1</v>
      </c>
      <c r="F385" s="157">
        <f t="shared" si="5"/>
        <v>200</v>
      </c>
    </row>
    <row r="386" spans="1:6">
      <c r="A386" s="155" t="s">
        <v>380</v>
      </c>
      <c r="B386" s="156">
        <v>43661</v>
      </c>
      <c r="C386" s="155" t="s">
        <v>390</v>
      </c>
      <c r="D386" s="157">
        <v>300</v>
      </c>
      <c r="E386" s="155">
        <v>4</v>
      </c>
      <c r="F386" s="157">
        <f t="shared" si="5"/>
        <v>1200</v>
      </c>
    </row>
    <row r="387" spans="1:6">
      <c r="A387" s="155" t="s">
        <v>386</v>
      </c>
      <c r="B387" s="156">
        <v>43661</v>
      </c>
      <c r="C387" s="155" t="s">
        <v>372</v>
      </c>
      <c r="D387" s="157">
        <v>450</v>
      </c>
      <c r="E387" s="155">
        <v>4</v>
      </c>
      <c r="F387" s="157">
        <f t="shared" si="5"/>
        <v>1800</v>
      </c>
    </row>
    <row r="388" spans="1:6">
      <c r="A388" s="155" t="s">
        <v>383</v>
      </c>
      <c r="B388" s="156">
        <v>43663</v>
      </c>
      <c r="C388" s="155" t="s">
        <v>382</v>
      </c>
      <c r="D388" s="157">
        <v>200</v>
      </c>
      <c r="E388" s="155">
        <v>2</v>
      </c>
      <c r="F388" s="157">
        <f t="shared" si="5"/>
        <v>400</v>
      </c>
    </row>
    <row r="389" spans="1:6">
      <c r="A389" s="155" t="s">
        <v>383</v>
      </c>
      <c r="B389" s="156">
        <v>43664</v>
      </c>
      <c r="C389" s="155" t="s">
        <v>73</v>
      </c>
      <c r="D389" s="157">
        <v>6000</v>
      </c>
      <c r="E389" s="155">
        <v>3</v>
      </c>
      <c r="F389" s="157">
        <f t="shared" si="5"/>
        <v>18000</v>
      </c>
    </row>
    <row r="390" spans="1:6">
      <c r="A390" s="155" t="s">
        <v>380</v>
      </c>
      <c r="B390" s="156">
        <v>43664</v>
      </c>
      <c r="C390" s="155" t="s">
        <v>379</v>
      </c>
      <c r="D390" s="157">
        <v>150</v>
      </c>
      <c r="E390" s="155">
        <v>3</v>
      </c>
      <c r="F390" s="157">
        <f t="shared" si="5"/>
        <v>450</v>
      </c>
    </row>
    <row r="391" spans="1:6">
      <c r="A391" s="155" t="s">
        <v>380</v>
      </c>
      <c r="B391" s="156">
        <v>43664</v>
      </c>
      <c r="C391" s="155" t="s">
        <v>382</v>
      </c>
      <c r="D391" s="157">
        <v>200</v>
      </c>
      <c r="E391" s="155">
        <v>2</v>
      </c>
      <c r="F391" s="157">
        <f t="shared" si="5"/>
        <v>400</v>
      </c>
    </row>
    <row r="392" spans="1:6">
      <c r="A392" s="155" t="s">
        <v>386</v>
      </c>
      <c r="B392" s="156">
        <v>43665</v>
      </c>
      <c r="C392" s="155" t="s">
        <v>390</v>
      </c>
      <c r="D392" s="157">
        <v>300</v>
      </c>
      <c r="E392" s="155">
        <v>2</v>
      </c>
      <c r="F392" s="157">
        <f t="shared" si="5"/>
        <v>600</v>
      </c>
    </row>
    <row r="393" spans="1:6">
      <c r="A393" s="155" t="s">
        <v>383</v>
      </c>
      <c r="B393" s="156">
        <v>43665</v>
      </c>
      <c r="C393" s="155" t="s">
        <v>390</v>
      </c>
      <c r="D393" s="157">
        <v>300</v>
      </c>
      <c r="E393" s="155">
        <v>1</v>
      </c>
      <c r="F393" s="157">
        <f t="shared" ref="F393:F456" si="6">E393*D393</f>
        <v>300</v>
      </c>
    </row>
    <row r="394" spans="1:6">
      <c r="A394" s="155" t="s">
        <v>159</v>
      </c>
      <c r="B394" s="156">
        <v>43666</v>
      </c>
      <c r="C394" s="155" t="s">
        <v>381</v>
      </c>
      <c r="D394" s="157">
        <v>600</v>
      </c>
      <c r="E394" s="155">
        <v>1</v>
      </c>
      <c r="F394" s="157">
        <f t="shared" si="6"/>
        <v>600</v>
      </c>
    </row>
    <row r="395" spans="1:6">
      <c r="A395" s="155" t="s">
        <v>378</v>
      </c>
      <c r="B395" s="156">
        <v>43671</v>
      </c>
      <c r="C395" s="155" t="s">
        <v>381</v>
      </c>
      <c r="D395" s="157">
        <v>600</v>
      </c>
      <c r="E395" s="155">
        <v>2</v>
      </c>
      <c r="F395" s="157">
        <f t="shared" si="6"/>
        <v>1200</v>
      </c>
    </row>
    <row r="396" spans="1:6">
      <c r="A396" s="155" t="s">
        <v>380</v>
      </c>
      <c r="B396" s="156">
        <v>43671</v>
      </c>
      <c r="C396" s="155" t="s">
        <v>381</v>
      </c>
      <c r="D396" s="157">
        <v>600</v>
      </c>
      <c r="E396" s="155">
        <v>4</v>
      </c>
      <c r="F396" s="157">
        <f t="shared" si="6"/>
        <v>2400</v>
      </c>
    </row>
    <row r="397" spans="1:6">
      <c r="A397" s="155" t="s">
        <v>159</v>
      </c>
      <c r="B397" s="156">
        <v>43671</v>
      </c>
      <c r="C397" s="155" t="s">
        <v>73</v>
      </c>
      <c r="D397" s="157">
        <v>6000</v>
      </c>
      <c r="E397" s="155">
        <v>2</v>
      </c>
      <c r="F397" s="157">
        <f t="shared" si="6"/>
        <v>12000</v>
      </c>
    </row>
    <row r="398" spans="1:6">
      <c r="A398" s="155" t="s">
        <v>159</v>
      </c>
      <c r="B398" s="156">
        <v>43671</v>
      </c>
      <c r="C398" s="155" t="s">
        <v>385</v>
      </c>
      <c r="D398" s="157">
        <v>1800</v>
      </c>
      <c r="E398" s="155">
        <v>2</v>
      </c>
      <c r="F398" s="157">
        <f t="shared" si="6"/>
        <v>3600</v>
      </c>
    </row>
    <row r="399" spans="1:6">
      <c r="A399" s="155" t="s">
        <v>386</v>
      </c>
      <c r="B399" s="156">
        <v>43672</v>
      </c>
      <c r="C399" s="155" t="s">
        <v>385</v>
      </c>
      <c r="D399" s="157">
        <v>1800</v>
      </c>
      <c r="E399" s="155">
        <v>3</v>
      </c>
      <c r="F399" s="157">
        <f t="shared" si="6"/>
        <v>5400</v>
      </c>
    </row>
    <row r="400" spans="1:6">
      <c r="A400" s="155" t="s">
        <v>378</v>
      </c>
      <c r="B400" s="156">
        <v>43672</v>
      </c>
      <c r="C400" s="155" t="s">
        <v>385</v>
      </c>
      <c r="D400" s="157">
        <v>1800</v>
      </c>
      <c r="E400" s="155">
        <v>3</v>
      </c>
      <c r="F400" s="157">
        <f t="shared" si="6"/>
        <v>5400</v>
      </c>
    </row>
    <row r="401" spans="1:6">
      <c r="A401" s="155" t="s">
        <v>159</v>
      </c>
      <c r="B401" s="156">
        <v>43673</v>
      </c>
      <c r="C401" s="155" t="s">
        <v>372</v>
      </c>
      <c r="D401" s="157">
        <v>450</v>
      </c>
      <c r="E401" s="155">
        <v>1</v>
      </c>
      <c r="F401" s="157">
        <f t="shared" si="6"/>
        <v>450</v>
      </c>
    </row>
    <row r="402" spans="1:6">
      <c r="A402" s="155" t="s">
        <v>159</v>
      </c>
      <c r="B402" s="156">
        <v>43673</v>
      </c>
      <c r="C402" s="155" t="s">
        <v>372</v>
      </c>
      <c r="D402" s="157">
        <v>450</v>
      </c>
      <c r="E402" s="155">
        <v>3</v>
      </c>
      <c r="F402" s="157">
        <f t="shared" si="6"/>
        <v>1350</v>
      </c>
    </row>
    <row r="403" spans="1:6">
      <c r="A403" s="155" t="s">
        <v>383</v>
      </c>
      <c r="B403" s="156">
        <v>43673</v>
      </c>
      <c r="C403" s="155" t="s">
        <v>390</v>
      </c>
      <c r="D403" s="157">
        <v>300</v>
      </c>
      <c r="E403" s="155">
        <v>1</v>
      </c>
      <c r="F403" s="157">
        <f t="shared" si="6"/>
        <v>300</v>
      </c>
    </row>
    <row r="404" spans="1:6">
      <c r="A404" s="155" t="s">
        <v>383</v>
      </c>
      <c r="B404" s="156">
        <v>43674</v>
      </c>
      <c r="C404" s="155" t="s">
        <v>382</v>
      </c>
      <c r="D404" s="157">
        <v>200</v>
      </c>
      <c r="E404" s="155">
        <v>2</v>
      </c>
      <c r="F404" s="157">
        <f t="shared" si="6"/>
        <v>400</v>
      </c>
    </row>
    <row r="405" spans="1:6">
      <c r="A405" s="155" t="s">
        <v>378</v>
      </c>
      <c r="B405" s="156">
        <v>43675</v>
      </c>
      <c r="C405" s="155" t="s">
        <v>379</v>
      </c>
      <c r="D405" s="157">
        <v>150</v>
      </c>
      <c r="E405" s="155">
        <v>4</v>
      </c>
      <c r="F405" s="157">
        <f t="shared" si="6"/>
        <v>600</v>
      </c>
    </row>
    <row r="406" spans="1:6">
      <c r="A406" s="155" t="s">
        <v>386</v>
      </c>
      <c r="B406" s="156">
        <v>43675</v>
      </c>
      <c r="C406" s="155" t="s">
        <v>381</v>
      </c>
      <c r="D406" s="157">
        <v>600</v>
      </c>
      <c r="E406" s="155">
        <v>1</v>
      </c>
      <c r="F406" s="157">
        <f t="shared" si="6"/>
        <v>600</v>
      </c>
    </row>
    <row r="407" spans="1:6">
      <c r="A407" s="155" t="s">
        <v>378</v>
      </c>
      <c r="B407" s="156">
        <v>43675</v>
      </c>
      <c r="C407" s="155" t="s">
        <v>372</v>
      </c>
      <c r="D407" s="157">
        <v>450</v>
      </c>
      <c r="E407" s="155">
        <v>2</v>
      </c>
      <c r="F407" s="157">
        <f t="shared" si="6"/>
        <v>900</v>
      </c>
    </row>
    <row r="408" spans="1:6">
      <c r="A408" s="155" t="s">
        <v>159</v>
      </c>
      <c r="B408" s="156">
        <v>43676</v>
      </c>
      <c r="C408" s="155" t="s">
        <v>379</v>
      </c>
      <c r="D408" s="157">
        <v>150</v>
      </c>
      <c r="E408" s="155">
        <v>4</v>
      </c>
      <c r="F408" s="157">
        <f t="shared" si="6"/>
        <v>600</v>
      </c>
    </row>
    <row r="409" spans="1:6">
      <c r="A409" s="155" t="s">
        <v>386</v>
      </c>
      <c r="B409" s="156">
        <v>43676</v>
      </c>
      <c r="C409" s="155" t="s">
        <v>73</v>
      </c>
      <c r="D409" s="157">
        <v>6000</v>
      </c>
      <c r="E409" s="155">
        <v>1</v>
      </c>
      <c r="F409" s="157">
        <f t="shared" si="6"/>
        <v>6000</v>
      </c>
    </row>
    <row r="410" spans="1:6">
      <c r="A410" s="155" t="s">
        <v>383</v>
      </c>
      <c r="B410" s="156">
        <v>43677</v>
      </c>
      <c r="C410" s="155" t="s">
        <v>381</v>
      </c>
      <c r="D410" s="157">
        <v>600</v>
      </c>
      <c r="E410" s="155">
        <v>2</v>
      </c>
      <c r="F410" s="157">
        <f t="shared" si="6"/>
        <v>1200</v>
      </c>
    </row>
    <row r="411" spans="1:6">
      <c r="A411" s="155" t="s">
        <v>383</v>
      </c>
      <c r="B411" s="156">
        <v>43678</v>
      </c>
      <c r="C411" s="155" t="s">
        <v>379</v>
      </c>
      <c r="D411" s="157">
        <v>150</v>
      </c>
      <c r="E411" s="155">
        <v>1</v>
      </c>
      <c r="F411" s="157">
        <f t="shared" si="6"/>
        <v>150</v>
      </c>
    </row>
    <row r="412" spans="1:6">
      <c r="A412" s="155" t="s">
        <v>378</v>
      </c>
      <c r="B412" s="156">
        <v>43678</v>
      </c>
      <c r="C412" s="155" t="s">
        <v>372</v>
      </c>
      <c r="D412" s="157">
        <v>450</v>
      </c>
      <c r="E412" s="155">
        <v>1</v>
      </c>
      <c r="F412" s="157">
        <f t="shared" si="6"/>
        <v>450</v>
      </c>
    </row>
    <row r="413" spans="1:6">
      <c r="A413" s="155" t="s">
        <v>386</v>
      </c>
      <c r="B413" s="156">
        <v>43678</v>
      </c>
      <c r="C413" s="155" t="s">
        <v>381</v>
      </c>
      <c r="D413" s="157">
        <v>600</v>
      </c>
      <c r="E413" s="155">
        <v>3</v>
      </c>
      <c r="F413" s="157">
        <f t="shared" si="6"/>
        <v>1800</v>
      </c>
    </row>
    <row r="414" spans="1:6">
      <c r="A414" s="155" t="s">
        <v>384</v>
      </c>
      <c r="B414" s="156">
        <v>43679</v>
      </c>
      <c r="C414" s="155" t="s">
        <v>379</v>
      </c>
      <c r="D414" s="157">
        <v>150</v>
      </c>
      <c r="E414" s="155">
        <v>1</v>
      </c>
      <c r="F414" s="157">
        <f t="shared" si="6"/>
        <v>150</v>
      </c>
    </row>
    <row r="415" spans="1:6">
      <c r="A415" s="155" t="s">
        <v>159</v>
      </c>
      <c r="B415" s="156">
        <v>43679</v>
      </c>
      <c r="C415" s="155" t="s">
        <v>382</v>
      </c>
      <c r="D415" s="157">
        <v>200</v>
      </c>
      <c r="E415" s="155">
        <v>4</v>
      </c>
      <c r="F415" s="157">
        <f t="shared" si="6"/>
        <v>800</v>
      </c>
    </row>
    <row r="416" spans="1:6">
      <c r="A416" s="155" t="s">
        <v>159</v>
      </c>
      <c r="B416" s="156">
        <v>43680</v>
      </c>
      <c r="C416" s="155" t="s">
        <v>372</v>
      </c>
      <c r="D416" s="157">
        <v>450</v>
      </c>
      <c r="E416" s="155">
        <v>3</v>
      </c>
      <c r="F416" s="157">
        <f t="shared" si="6"/>
        <v>1350</v>
      </c>
    </row>
    <row r="417" spans="1:6">
      <c r="A417" s="155" t="s">
        <v>159</v>
      </c>
      <c r="B417" s="156">
        <v>43681</v>
      </c>
      <c r="C417" s="155" t="s">
        <v>372</v>
      </c>
      <c r="D417" s="157">
        <v>450</v>
      </c>
      <c r="E417" s="155">
        <v>2</v>
      </c>
      <c r="F417" s="157">
        <f t="shared" si="6"/>
        <v>900</v>
      </c>
    </row>
    <row r="418" spans="1:6">
      <c r="A418" s="155" t="s">
        <v>386</v>
      </c>
      <c r="B418" s="156">
        <v>43681</v>
      </c>
      <c r="C418" s="155" t="s">
        <v>390</v>
      </c>
      <c r="D418" s="157">
        <v>300</v>
      </c>
      <c r="E418" s="155">
        <v>1</v>
      </c>
      <c r="F418" s="157">
        <f t="shared" si="6"/>
        <v>300</v>
      </c>
    </row>
    <row r="419" spans="1:6">
      <c r="A419" s="155" t="s">
        <v>378</v>
      </c>
      <c r="B419" s="156">
        <v>43682</v>
      </c>
      <c r="C419" s="155" t="s">
        <v>385</v>
      </c>
      <c r="D419" s="157">
        <v>1800</v>
      </c>
      <c r="E419" s="155">
        <v>2</v>
      </c>
      <c r="F419" s="157">
        <f t="shared" si="6"/>
        <v>3600</v>
      </c>
    </row>
    <row r="420" spans="1:6">
      <c r="A420" s="155" t="s">
        <v>378</v>
      </c>
      <c r="B420" s="156">
        <v>43682</v>
      </c>
      <c r="C420" s="155" t="s">
        <v>73</v>
      </c>
      <c r="D420" s="157">
        <v>6000</v>
      </c>
      <c r="E420" s="155">
        <v>1</v>
      </c>
      <c r="F420" s="157">
        <f t="shared" si="6"/>
        <v>6000</v>
      </c>
    </row>
    <row r="421" spans="1:6">
      <c r="A421" s="155" t="s">
        <v>159</v>
      </c>
      <c r="B421" s="156">
        <v>43683</v>
      </c>
      <c r="C421" s="155" t="s">
        <v>73</v>
      </c>
      <c r="D421" s="157">
        <v>6000</v>
      </c>
      <c r="E421" s="155">
        <v>2</v>
      </c>
      <c r="F421" s="157">
        <f t="shared" si="6"/>
        <v>12000</v>
      </c>
    </row>
    <row r="422" spans="1:6">
      <c r="A422" s="155" t="s">
        <v>386</v>
      </c>
      <c r="B422" s="156">
        <v>43683</v>
      </c>
      <c r="C422" s="155" t="s">
        <v>390</v>
      </c>
      <c r="D422" s="157">
        <v>300</v>
      </c>
      <c r="E422" s="155">
        <v>4</v>
      </c>
      <c r="F422" s="157">
        <f t="shared" si="6"/>
        <v>1200</v>
      </c>
    </row>
    <row r="423" spans="1:6">
      <c r="A423" s="155" t="s">
        <v>386</v>
      </c>
      <c r="B423" s="156">
        <v>43683</v>
      </c>
      <c r="C423" s="155" t="s">
        <v>73</v>
      </c>
      <c r="D423" s="157">
        <v>6000</v>
      </c>
      <c r="E423" s="155">
        <v>4</v>
      </c>
      <c r="F423" s="157">
        <f t="shared" si="6"/>
        <v>24000</v>
      </c>
    </row>
    <row r="424" spans="1:6">
      <c r="A424" s="155" t="s">
        <v>383</v>
      </c>
      <c r="B424" s="156">
        <v>43683</v>
      </c>
      <c r="C424" s="155" t="s">
        <v>381</v>
      </c>
      <c r="D424" s="157">
        <v>600</v>
      </c>
      <c r="E424" s="155">
        <v>1</v>
      </c>
      <c r="F424" s="157">
        <f t="shared" si="6"/>
        <v>600</v>
      </c>
    </row>
    <row r="425" spans="1:6">
      <c r="A425" s="155" t="s">
        <v>380</v>
      </c>
      <c r="B425" s="156">
        <v>43683</v>
      </c>
      <c r="C425" s="155" t="s">
        <v>381</v>
      </c>
      <c r="D425" s="157">
        <v>600</v>
      </c>
      <c r="E425" s="155">
        <v>4</v>
      </c>
      <c r="F425" s="157">
        <f t="shared" si="6"/>
        <v>2400</v>
      </c>
    </row>
    <row r="426" spans="1:6">
      <c r="A426" s="155" t="s">
        <v>383</v>
      </c>
      <c r="B426" s="156">
        <v>43684</v>
      </c>
      <c r="C426" s="155" t="s">
        <v>372</v>
      </c>
      <c r="D426" s="157">
        <v>450</v>
      </c>
      <c r="E426" s="155">
        <v>4</v>
      </c>
      <c r="F426" s="157">
        <f t="shared" si="6"/>
        <v>1800</v>
      </c>
    </row>
    <row r="427" spans="1:6">
      <c r="A427" s="155" t="s">
        <v>159</v>
      </c>
      <c r="B427" s="156">
        <v>43684</v>
      </c>
      <c r="C427" s="155" t="s">
        <v>379</v>
      </c>
      <c r="D427" s="157">
        <v>150</v>
      </c>
      <c r="E427" s="155">
        <v>1</v>
      </c>
      <c r="F427" s="157">
        <f t="shared" si="6"/>
        <v>150</v>
      </c>
    </row>
    <row r="428" spans="1:6">
      <c r="A428" s="155" t="s">
        <v>380</v>
      </c>
      <c r="B428" s="156">
        <v>43685</v>
      </c>
      <c r="C428" s="155" t="s">
        <v>379</v>
      </c>
      <c r="D428" s="157">
        <v>150</v>
      </c>
      <c r="E428" s="155">
        <v>1</v>
      </c>
      <c r="F428" s="157">
        <f t="shared" si="6"/>
        <v>150</v>
      </c>
    </row>
    <row r="429" spans="1:6">
      <c r="A429" s="155" t="s">
        <v>159</v>
      </c>
      <c r="B429" s="156">
        <v>43685</v>
      </c>
      <c r="C429" s="155" t="s">
        <v>382</v>
      </c>
      <c r="D429" s="157">
        <v>200</v>
      </c>
      <c r="E429" s="155">
        <v>2</v>
      </c>
      <c r="F429" s="157">
        <f t="shared" si="6"/>
        <v>400</v>
      </c>
    </row>
    <row r="430" spans="1:6">
      <c r="A430" s="155" t="s">
        <v>384</v>
      </c>
      <c r="B430" s="156">
        <v>43685</v>
      </c>
      <c r="C430" s="155" t="s">
        <v>390</v>
      </c>
      <c r="D430" s="157">
        <v>300</v>
      </c>
      <c r="E430" s="155">
        <v>2</v>
      </c>
      <c r="F430" s="157">
        <f t="shared" si="6"/>
        <v>600</v>
      </c>
    </row>
    <row r="431" spans="1:6">
      <c r="A431" s="155" t="s">
        <v>159</v>
      </c>
      <c r="B431" s="156">
        <v>43685</v>
      </c>
      <c r="C431" s="155" t="s">
        <v>381</v>
      </c>
      <c r="D431" s="157">
        <v>600</v>
      </c>
      <c r="E431" s="155">
        <v>4</v>
      </c>
      <c r="F431" s="157">
        <f t="shared" si="6"/>
        <v>2400</v>
      </c>
    </row>
    <row r="432" spans="1:6">
      <c r="A432" s="155" t="s">
        <v>159</v>
      </c>
      <c r="B432" s="156">
        <v>43685</v>
      </c>
      <c r="C432" s="155" t="s">
        <v>73</v>
      </c>
      <c r="D432" s="157">
        <v>6000</v>
      </c>
      <c r="E432" s="155">
        <v>1</v>
      </c>
      <c r="F432" s="157">
        <f t="shared" si="6"/>
        <v>6000</v>
      </c>
    </row>
    <row r="433" spans="1:6">
      <c r="A433" s="155" t="s">
        <v>378</v>
      </c>
      <c r="B433" s="156">
        <v>43686</v>
      </c>
      <c r="C433" s="155" t="s">
        <v>372</v>
      </c>
      <c r="D433" s="157">
        <v>450</v>
      </c>
      <c r="E433" s="155">
        <v>1</v>
      </c>
      <c r="F433" s="157">
        <f t="shared" si="6"/>
        <v>450</v>
      </c>
    </row>
    <row r="434" spans="1:6">
      <c r="A434" s="155" t="s">
        <v>159</v>
      </c>
      <c r="B434" s="156">
        <v>43688</v>
      </c>
      <c r="C434" s="155" t="s">
        <v>390</v>
      </c>
      <c r="D434" s="157">
        <v>300</v>
      </c>
      <c r="E434" s="155">
        <v>4</v>
      </c>
      <c r="F434" s="157">
        <f t="shared" si="6"/>
        <v>1200</v>
      </c>
    </row>
    <row r="435" spans="1:6">
      <c r="A435" s="155" t="s">
        <v>386</v>
      </c>
      <c r="B435" s="156">
        <v>43689</v>
      </c>
      <c r="C435" s="155" t="s">
        <v>382</v>
      </c>
      <c r="D435" s="157">
        <v>200</v>
      </c>
      <c r="E435" s="155">
        <v>3</v>
      </c>
      <c r="F435" s="157">
        <f t="shared" si="6"/>
        <v>600</v>
      </c>
    </row>
    <row r="436" spans="1:6">
      <c r="A436" s="155" t="s">
        <v>380</v>
      </c>
      <c r="B436" s="156">
        <v>43689</v>
      </c>
      <c r="C436" s="155" t="s">
        <v>372</v>
      </c>
      <c r="D436" s="157">
        <v>450</v>
      </c>
      <c r="E436" s="155">
        <v>4</v>
      </c>
      <c r="F436" s="157">
        <f t="shared" si="6"/>
        <v>1800</v>
      </c>
    </row>
    <row r="437" spans="1:6">
      <c r="A437" s="155" t="s">
        <v>386</v>
      </c>
      <c r="B437" s="156">
        <v>43689</v>
      </c>
      <c r="C437" s="155" t="s">
        <v>379</v>
      </c>
      <c r="D437" s="157">
        <v>150</v>
      </c>
      <c r="E437" s="155">
        <v>3</v>
      </c>
      <c r="F437" s="157">
        <f t="shared" si="6"/>
        <v>450</v>
      </c>
    </row>
    <row r="438" spans="1:6">
      <c r="A438" s="155" t="s">
        <v>384</v>
      </c>
      <c r="B438" s="156">
        <v>43690</v>
      </c>
      <c r="C438" s="155" t="s">
        <v>382</v>
      </c>
      <c r="D438" s="157">
        <v>200</v>
      </c>
      <c r="E438" s="155">
        <v>4</v>
      </c>
      <c r="F438" s="157">
        <f t="shared" si="6"/>
        <v>800</v>
      </c>
    </row>
    <row r="439" spans="1:6">
      <c r="A439" s="155" t="s">
        <v>384</v>
      </c>
      <c r="B439" s="156">
        <v>43691</v>
      </c>
      <c r="C439" s="155" t="s">
        <v>379</v>
      </c>
      <c r="D439" s="157">
        <v>150</v>
      </c>
      <c r="E439" s="155">
        <v>3</v>
      </c>
      <c r="F439" s="157">
        <f t="shared" si="6"/>
        <v>450</v>
      </c>
    </row>
    <row r="440" spans="1:6">
      <c r="A440" s="155" t="s">
        <v>386</v>
      </c>
      <c r="B440" s="156">
        <v>43692</v>
      </c>
      <c r="C440" s="155" t="s">
        <v>73</v>
      </c>
      <c r="D440" s="157">
        <v>6000</v>
      </c>
      <c r="E440" s="155">
        <v>3</v>
      </c>
      <c r="F440" s="157">
        <f t="shared" si="6"/>
        <v>18000</v>
      </c>
    </row>
    <row r="441" spans="1:6">
      <c r="A441" s="155" t="s">
        <v>384</v>
      </c>
      <c r="B441" s="156">
        <v>43693</v>
      </c>
      <c r="C441" s="155" t="s">
        <v>379</v>
      </c>
      <c r="D441" s="157">
        <v>150</v>
      </c>
      <c r="E441" s="155">
        <v>2</v>
      </c>
      <c r="F441" s="157">
        <f t="shared" si="6"/>
        <v>300</v>
      </c>
    </row>
    <row r="442" spans="1:6">
      <c r="A442" s="155" t="s">
        <v>386</v>
      </c>
      <c r="B442" s="156">
        <v>43694</v>
      </c>
      <c r="C442" s="155" t="s">
        <v>390</v>
      </c>
      <c r="D442" s="157">
        <v>300</v>
      </c>
      <c r="E442" s="155">
        <v>4</v>
      </c>
      <c r="F442" s="157">
        <f t="shared" si="6"/>
        <v>1200</v>
      </c>
    </row>
    <row r="443" spans="1:6">
      <c r="A443" s="155" t="s">
        <v>378</v>
      </c>
      <c r="B443" s="156">
        <v>43694</v>
      </c>
      <c r="C443" s="155" t="s">
        <v>381</v>
      </c>
      <c r="D443" s="157">
        <v>600</v>
      </c>
      <c r="E443" s="155">
        <v>2</v>
      </c>
      <c r="F443" s="157">
        <f t="shared" si="6"/>
        <v>1200</v>
      </c>
    </row>
    <row r="444" spans="1:6">
      <c r="A444" s="155" t="s">
        <v>159</v>
      </c>
      <c r="B444" s="156">
        <v>43694</v>
      </c>
      <c r="C444" s="155" t="s">
        <v>381</v>
      </c>
      <c r="D444" s="157">
        <v>600</v>
      </c>
      <c r="E444" s="155">
        <v>4</v>
      </c>
      <c r="F444" s="157">
        <f t="shared" si="6"/>
        <v>2400</v>
      </c>
    </row>
    <row r="445" spans="1:6">
      <c r="A445" s="155" t="s">
        <v>384</v>
      </c>
      <c r="B445" s="156">
        <v>43694</v>
      </c>
      <c r="C445" s="155" t="s">
        <v>390</v>
      </c>
      <c r="D445" s="157">
        <v>300</v>
      </c>
      <c r="E445" s="155">
        <v>2</v>
      </c>
      <c r="F445" s="157">
        <f t="shared" si="6"/>
        <v>600</v>
      </c>
    </row>
    <row r="446" spans="1:6">
      <c r="A446" s="155" t="s">
        <v>384</v>
      </c>
      <c r="B446" s="156">
        <v>43694</v>
      </c>
      <c r="C446" s="155" t="s">
        <v>381</v>
      </c>
      <c r="D446" s="157">
        <v>600</v>
      </c>
      <c r="E446" s="155">
        <v>4</v>
      </c>
      <c r="F446" s="157">
        <f t="shared" si="6"/>
        <v>2400</v>
      </c>
    </row>
    <row r="447" spans="1:6">
      <c r="A447" s="155" t="s">
        <v>384</v>
      </c>
      <c r="B447" s="156">
        <v>43694</v>
      </c>
      <c r="C447" s="155" t="s">
        <v>385</v>
      </c>
      <c r="D447" s="157">
        <v>1800</v>
      </c>
      <c r="E447" s="155">
        <v>2</v>
      </c>
      <c r="F447" s="157">
        <f t="shared" si="6"/>
        <v>3600</v>
      </c>
    </row>
    <row r="448" spans="1:6">
      <c r="A448" s="155" t="s">
        <v>378</v>
      </c>
      <c r="B448" s="156">
        <v>43695</v>
      </c>
      <c r="C448" s="155" t="s">
        <v>390</v>
      </c>
      <c r="D448" s="157">
        <v>300</v>
      </c>
      <c r="E448" s="155">
        <v>3</v>
      </c>
      <c r="F448" s="157">
        <f t="shared" si="6"/>
        <v>900</v>
      </c>
    </row>
    <row r="449" spans="1:6">
      <c r="A449" s="155" t="s">
        <v>384</v>
      </c>
      <c r="B449" s="156">
        <v>43696</v>
      </c>
      <c r="C449" s="155" t="s">
        <v>379</v>
      </c>
      <c r="D449" s="157">
        <v>150</v>
      </c>
      <c r="E449" s="155">
        <v>1</v>
      </c>
      <c r="F449" s="157">
        <f t="shared" si="6"/>
        <v>150</v>
      </c>
    </row>
    <row r="450" spans="1:6">
      <c r="A450" s="155" t="s">
        <v>383</v>
      </c>
      <c r="B450" s="156">
        <v>43696</v>
      </c>
      <c r="C450" s="155" t="s">
        <v>73</v>
      </c>
      <c r="D450" s="157">
        <v>6000</v>
      </c>
      <c r="E450" s="155">
        <v>1</v>
      </c>
      <c r="F450" s="157">
        <f t="shared" si="6"/>
        <v>6000</v>
      </c>
    </row>
    <row r="451" spans="1:6">
      <c r="A451" s="155" t="s">
        <v>159</v>
      </c>
      <c r="B451" s="156">
        <v>43696</v>
      </c>
      <c r="C451" s="155" t="s">
        <v>73</v>
      </c>
      <c r="D451" s="157">
        <v>6000</v>
      </c>
      <c r="E451" s="155">
        <v>1</v>
      </c>
      <c r="F451" s="157">
        <f t="shared" si="6"/>
        <v>6000</v>
      </c>
    </row>
    <row r="452" spans="1:6">
      <c r="A452" s="155" t="s">
        <v>386</v>
      </c>
      <c r="B452" s="156">
        <v>43696</v>
      </c>
      <c r="C452" s="155" t="s">
        <v>73</v>
      </c>
      <c r="D452" s="157">
        <v>6000</v>
      </c>
      <c r="E452" s="155">
        <v>4</v>
      </c>
      <c r="F452" s="157">
        <f t="shared" si="6"/>
        <v>24000</v>
      </c>
    </row>
    <row r="453" spans="1:6">
      <c r="A453" s="155" t="s">
        <v>159</v>
      </c>
      <c r="B453" s="156">
        <v>43697</v>
      </c>
      <c r="C453" s="155" t="s">
        <v>372</v>
      </c>
      <c r="D453" s="157">
        <v>450</v>
      </c>
      <c r="E453" s="155">
        <v>1</v>
      </c>
      <c r="F453" s="157">
        <f t="shared" si="6"/>
        <v>450</v>
      </c>
    </row>
    <row r="454" spans="1:6">
      <c r="A454" s="155" t="s">
        <v>378</v>
      </c>
      <c r="B454" s="156">
        <v>43697</v>
      </c>
      <c r="C454" s="155" t="s">
        <v>390</v>
      </c>
      <c r="D454" s="157">
        <v>300</v>
      </c>
      <c r="E454" s="155">
        <v>1</v>
      </c>
      <c r="F454" s="157">
        <f t="shared" si="6"/>
        <v>300</v>
      </c>
    </row>
    <row r="455" spans="1:6">
      <c r="A455" s="155" t="s">
        <v>378</v>
      </c>
      <c r="B455" s="156">
        <v>43698</v>
      </c>
      <c r="C455" s="155" t="s">
        <v>372</v>
      </c>
      <c r="D455" s="157">
        <v>450</v>
      </c>
      <c r="E455" s="155">
        <v>2</v>
      </c>
      <c r="F455" s="157">
        <f t="shared" si="6"/>
        <v>900</v>
      </c>
    </row>
    <row r="456" spans="1:6">
      <c r="A456" s="155" t="s">
        <v>386</v>
      </c>
      <c r="B456" s="156">
        <v>43699</v>
      </c>
      <c r="C456" s="155" t="s">
        <v>379</v>
      </c>
      <c r="D456" s="157">
        <v>150</v>
      </c>
      <c r="E456" s="155">
        <v>3</v>
      </c>
      <c r="F456" s="157">
        <f t="shared" si="6"/>
        <v>450</v>
      </c>
    </row>
    <row r="457" spans="1:6">
      <c r="A457" s="155" t="s">
        <v>383</v>
      </c>
      <c r="B457" s="156">
        <v>43700</v>
      </c>
      <c r="C457" s="155" t="s">
        <v>379</v>
      </c>
      <c r="D457" s="157">
        <v>150</v>
      </c>
      <c r="E457" s="155">
        <v>1</v>
      </c>
      <c r="F457" s="157">
        <f t="shared" ref="F457:F520" si="7">E457*D457</f>
        <v>150</v>
      </c>
    </row>
    <row r="458" spans="1:6">
      <c r="A458" s="155" t="s">
        <v>383</v>
      </c>
      <c r="B458" s="156">
        <v>43701</v>
      </c>
      <c r="C458" s="155" t="s">
        <v>73</v>
      </c>
      <c r="D458" s="157">
        <v>6000</v>
      </c>
      <c r="E458" s="155">
        <v>1</v>
      </c>
      <c r="F458" s="157">
        <f t="shared" si="7"/>
        <v>6000</v>
      </c>
    </row>
    <row r="459" spans="1:6">
      <c r="A459" s="155" t="s">
        <v>386</v>
      </c>
      <c r="B459" s="156">
        <v>43702</v>
      </c>
      <c r="C459" s="155" t="s">
        <v>73</v>
      </c>
      <c r="D459" s="157">
        <v>6000</v>
      </c>
      <c r="E459" s="155">
        <v>2</v>
      </c>
      <c r="F459" s="157">
        <f t="shared" si="7"/>
        <v>12000</v>
      </c>
    </row>
    <row r="460" spans="1:6">
      <c r="A460" s="155" t="s">
        <v>380</v>
      </c>
      <c r="B460" s="156">
        <v>43703</v>
      </c>
      <c r="C460" s="155" t="s">
        <v>372</v>
      </c>
      <c r="D460" s="157">
        <v>450</v>
      </c>
      <c r="E460" s="155">
        <v>1</v>
      </c>
      <c r="F460" s="157">
        <f t="shared" si="7"/>
        <v>450</v>
      </c>
    </row>
    <row r="461" spans="1:6">
      <c r="A461" s="155" t="s">
        <v>159</v>
      </c>
      <c r="B461" s="156">
        <v>43704</v>
      </c>
      <c r="C461" s="155" t="s">
        <v>379</v>
      </c>
      <c r="D461" s="157">
        <v>150</v>
      </c>
      <c r="E461" s="155">
        <v>4</v>
      </c>
      <c r="F461" s="157">
        <f t="shared" si="7"/>
        <v>600</v>
      </c>
    </row>
    <row r="462" spans="1:6">
      <c r="A462" s="155" t="s">
        <v>378</v>
      </c>
      <c r="B462" s="156">
        <v>43704</v>
      </c>
      <c r="C462" s="155" t="s">
        <v>385</v>
      </c>
      <c r="D462" s="157">
        <v>1800</v>
      </c>
      <c r="E462" s="155">
        <v>3</v>
      </c>
      <c r="F462" s="157">
        <f t="shared" si="7"/>
        <v>5400</v>
      </c>
    </row>
    <row r="463" spans="1:6">
      <c r="A463" s="155" t="s">
        <v>384</v>
      </c>
      <c r="B463" s="156">
        <v>43704</v>
      </c>
      <c r="C463" s="155" t="s">
        <v>381</v>
      </c>
      <c r="D463" s="157">
        <v>600</v>
      </c>
      <c r="E463" s="155">
        <v>2</v>
      </c>
      <c r="F463" s="157">
        <f t="shared" si="7"/>
        <v>1200</v>
      </c>
    </row>
    <row r="464" spans="1:6">
      <c r="A464" s="155" t="s">
        <v>378</v>
      </c>
      <c r="B464" s="156">
        <v>43704</v>
      </c>
      <c r="C464" s="155" t="s">
        <v>381</v>
      </c>
      <c r="D464" s="157">
        <v>600</v>
      </c>
      <c r="E464" s="155">
        <v>3</v>
      </c>
      <c r="F464" s="157">
        <f t="shared" si="7"/>
        <v>1800</v>
      </c>
    </row>
    <row r="465" spans="1:6">
      <c r="A465" s="155" t="s">
        <v>378</v>
      </c>
      <c r="B465" s="156">
        <v>43704</v>
      </c>
      <c r="C465" s="155" t="s">
        <v>379</v>
      </c>
      <c r="D465" s="157">
        <v>150</v>
      </c>
      <c r="E465" s="155">
        <v>2</v>
      </c>
      <c r="F465" s="157">
        <f t="shared" si="7"/>
        <v>300</v>
      </c>
    </row>
    <row r="466" spans="1:6">
      <c r="A466" s="155" t="s">
        <v>386</v>
      </c>
      <c r="B466" s="156">
        <v>43704</v>
      </c>
      <c r="C466" s="155" t="s">
        <v>73</v>
      </c>
      <c r="D466" s="157">
        <v>6000</v>
      </c>
      <c r="E466" s="155">
        <v>3</v>
      </c>
      <c r="F466" s="157">
        <f t="shared" si="7"/>
        <v>18000</v>
      </c>
    </row>
    <row r="467" spans="1:6">
      <c r="A467" s="155" t="s">
        <v>383</v>
      </c>
      <c r="B467" s="156">
        <v>43704</v>
      </c>
      <c r="C467" s="155" t="s">
        <v>379</v>
      </c>
      <c r="D467" s="157">
        <v>150</v>
      </c>
      <c r="E467" s="155">
        <v>3</v>
      </c>
      <c r="F467" s="157">
        <f t="shared" si="7"/>
        <v>450</v>
      </c>
    </row>
    <row r="468" spans="1:6">
      <c r="A468" s="155" t="s">
        <v>378</v>
      </c>
      <c r="B468" s="156">
        <v>43705</v>
      </c>
      <c r="C468" s="155" t="s">
        <v>385</v>
      </c>
      <c r="D468" s="157">
        <v>1800</v>
      </c>
      <c r="E468" s="155">
        <v>2</v>
      </c>
      <c r="F468" s="157">
        <f t="shared" si="7"/>
        <v>3600</v>
      </c>
    </row>
    <row r="469" spans="1:6">
      <c r="A469" s="155" t="s">
        <v>384</v>
      </c>
      <c r="B469" s="156">
        <v>43706</v>
      </c>
      <c r="C469" s="155" t="s">
        <v>379</v>
      </c>
      <c r="D469" s="157">
        <v>150</v>
      </c>
      <c r="E469" s="155">
        <v>1</v>
      </c>
      <c r="F469" s="157">
        <f t="shared" si="7"/>
        <v>150</v>
      </c>
    </row>
    <row r="470" spans="1:6">
      <c r="A470" s="155" t="s">
        <v>159</v>
      </c>
      <c r="B470" s="156">
        <v>43707</v>
      </c>
      <c r="C470" s="155" t="s">
        <v>381</v>
      </c>
      <c r="D470" s="157">
        <v>600</v>
      </c>
      <c r="E470" s="155">
        <v>1</v>
      </c>
      <c r="F470" s="157">
        <f t="shared" si="7"/>
        <v>600</v>
      </c>
    </row>
    <row r="471" spans="1:6">
      <c r="A471" s="155" t="s">
        <v>386</v>
      </c>
      <c r="B471" s="156">
        <v>43707</v>
      </c>
      <c r="C471" s="155" t="s">
        <v>379</v>
      </c>
      <c r="D471" s="157">
        <v>150</v>
      </c>
      <c r="E471" s="155">
        <v>4</v>
      </c>
      <c r="F471" s="157">
        <f t="shared" si="7"/>
        <v>600</v>
      </c>
    </row>
    <row r="472" spans="1:6">
      <c r="A472" s="155" t="s">
        <v>383</v>
      </c>
      <c r="B472" s="156">
        <v>43708</v>
      </c>
      <c r="C472" s="155" t="s">
        <v>390</v>
      </c>
      <c r="D472" s="157">
        <v>300</v>
      </c>
      <c r="E472" s="155">
        <v>2</v>
      </c>
      <c r="F472" s="157">
        <f t="shared" si="7"/>
        <v>600</v>
      </c>
    </row>
    <row r="473" spans="1:6">
      <c r="A473" s="155" t="s">
        <v>386</v>
      </c>
      <c r="B473" s="156">
        <v>43708</v>
      </c>
      <c r="C473" s="155" t="s">
        <v>390</v>
      </c>
      <c r="D473" s="157">
        <v>300</v>
      </c>
      <c r="E473" s="155">
        <v>1</v>
      </c>
      <c r="F473" s="157">
        <f t="shared" si="7"/>
        <v>300</v>
      </c>
    </row>
    <row r="474" spans="1:6">
      <c r="A474" s="155" t="s">
        <v>386</v>
      </c>
      <c r="B474" s="156">
        <v>43708</v>
      </c>
      <c r="C474" s="155" t="s">
        <v>381</v>
      </c>
      <c r="D474" s="157">
        <v>600</v>
      </c>
      <c r="E474" s="155">
        <v>1</v>
      </c>
      <c r="F474" s="157">
        <f t="shared" si="7"/>
        <v>600</v>
      </c>
    </row>
    <row r="475" spans="1:6">
      <c r="A475" s="155" t="s">
        <v>380</v>
      </c>
      <c r="B475" s="156">
        <v>43709</v>
      </c>
      <c r="C475" s="155" t="s">
        <v>372</v>
      </c>
      <c r="D475" s="157">
        <v>450</v>
      </c>
      <c r="E475" s="155">
        <v>1</v>
      </c>
      <c r="F475" s="157">
        <f t="shared" si="7"/>
        <v>450</v>
      </c>
    </row>
    <row r="476" spans="1:6">
      <c r="A476" s="155" t="s">
        <v>378</v>
      </c>
      <c r="B476" s="156">
        <v>43710</v>
      </c>
      <c r="C476" s="155" t="s">
        <v>381</v>
      </c>
      <c r="D476" s="157">
        <v>600</v>
      </c>
      <c r="E476" s="155">
        <v>4</v>
      </c>
      <c r="F476" s="157">
        <f t="shared" si="7"/>
        <v>2400</v>
      </c>
    </row>
    <row r="477" spans="1:6">
      <c r="A477" s="155" t="s">
        <v>384</v>
      </c>
      <c r="B477" s="156">
        <v>43711</v>
      </c>
      <c r="C477" s="155" t="s">
        <v>381</v>
      </c>
      <c r="D477" s="157">
        <v>600</v>
      </c>
      <c r="E477" s="155">
        <v>3</v>
      </c>
      <c r="F477" s="157">
        <f t="shared" si="7"/>
        <v>1800</v>
      </c>
    </row>
    <row r="478" spans="1:6">
      <c r="A478" s="155" t="s">
        <v>384</v>
      </c>
      <c r="B478" s="156">
        <v>43711</v>
      </c>
      <c r="C478" s="155" t="s">
        <v>382</v>
      </c>
      <c r="D478" s="157">
        <v>200</v>
      </c>
      <c r="E478" s="155">
        <v>4</v>
      </c>
      <c r="F478" s="157">
        <f t="shared" si="7"/>
        <v>800</v>
      </c>
    </row>
    <row r="479" spans="1:6">
      <c r="A479" s="155" t="s">
        <v>386</v>
      </c>
      <c r="B479" s="156">
        <v>43712</v>
      </c>
      <c r="C479" s="155" t="s">
        <v>372</v>
      </c>
      <c r="D479" s="157">
        <v>450</v>
      </c>
      <c r="E479" s="155">
        <v>2</v>
      </c>
      <c r="F479" s="157">
        <f t="shared" si="7"/>
        <v>900</v>
      </c>
    </row>
    <row r="480" spans="1:6">
      <c r="A480" s="155" t="s">
        <v>386</v>
      </c>
      <c r="B480" s="156">
        <v>43712</v>
      </c>
      <c r="C480" s="155" t="s">
        <v>379</v>
      </c>
      <c r="D480" s="157">
        <v>150</v>
      </c>
      <c r="E480" s="155">
        <v>2</v>
      </c>
      <c r="F480" s="157">
        <f t="shared" si="7"/>
        <v>300</v>
      </c>
    </row>
    <row r="481" spans="1:6">
      <c r="A481" s="155" t="s">
        <v>159</v>
      </c>
      <c r="B481" s="156">
        <v>43712</v>
      </c>
      <c r="C481" s="155" t="s">
        <v>390</v>
      </c>
      <c r="D481" s="157">
        <v>300</v>
      </c>
      <c r="E481" s="155">
        <v>1</v>
      </c>
      <c r="F481" s="157">
        <f t="shared" si="7"/>
        <v>300</v>
      </c>
    </row>
    <row r="482" spans="1:6">
      <c r="A482" s="155" t="s">
        <v>378</v>
      </c>
      <c r="B482" s="156">
        <v>43713</v>
      </c>
      <c r="C482" s="155" t="s">
        <v>390</v>
      </c>
      <c r="D482" s="157">
        <v>300</v>
      </c>
      <c r="E482" s="155">
        <v>2</v>
      </c>
      <c r="F482" s="157">
        <f t="shared" si="7"/>
        <v>600</v>
      </c>
    </row>
    <row r="483" spans="1:6">
      <c r="A483" s="155" t="s">
        <v>386</v>
      </c>
      <c r="B483" s="156">
        <v>43713</v>
      </c>
      <c r="C483" s="155" t="s">
        <v>382</v>
      </c>
      <c r="D483" s="157">
        <v>200</v>
      </c>
      <c r="E483" s="155">
        <v>1</v>
      </c>
      <c r="F483" s="157">
        <f t="shared" si="7"/>
        <v>200</v>
      </c>
    </row>
    <row r="484" spans="1:6">
      <c r="A484" s="155" t="s">
        <v>383</v>
      </c>
      <c r="B484" s="156">
        <v>43714</v>
      </c>
      <c r="C484" s="155" t="s">
        <v>381</v>
      </c>
      <c r="D484" s="157">
        <v>600</v>
      </c>
      <c r="E484" s="155">
        <v>3</v>
      </c>
      <c r="F484" s="157">
        <f t="shared" si="7"/>
        <v>1800</v>
      </c>
    </row>
    <row r="485" spans="1:6">
      <c r="A485" s="155" t="s">
        <v>384</v>
      </c>
      <c r="B485" s="156">
        <v>43714</v>
      </c>
      <c r="C485" s="155" t="s">
        <v>73</v>
      </c>
      <c r="D485" s="157">
        <v>6000</v>
      </c>
      <c r="E485" s="155">
        <v>2</v>
      </c>
      <c r="F485" s="157">
        <f t="shared" si="7"/>
        <v>12000</v>
      </c>
    </row>
    <row r="486" spans="1:6">
      <c r="A486" s="155" t="s">
        <v>159</v>
      </c>
      <c r="B486" s="156">
        <v>43715</v>
      </c>
      <c r="C486" s="155" t="s">
        <v>390</v>
      </c>
      <c r="D486" s="157">
        <v>300</v>
      </c>
      <c r="E486" s="155">
        <v>3</v>
      </c>
      <c r="F486" s="157">
        <f t="shared" si="7"/>
        <v>900</v>
      </c>
    </row>
    <row r="487" spans="1:6">
      <c r="A487" s="155" t="s">
        <v>159</v>
      </c>
      <c r="B487" s="156">
        <v>43715</v>
      </c>
      <c r="C487" s="155" t="s">
        <v>73</v>
      </c>
      <c r="D487" s="157">
        <v>6000</v>
      </c>
      <c r="E487" s="155">
        <v>4</v>
      </c>
      <c r="F487" s="157">
        <f t="shared" si="7"/>
        <v>24000</v>
      </c>
    </row>
    <row r="488" spans="1:6">
      <c r="A488" s="155" t="s">
        <v>159</v>
      </c>
      <c r="B488" s="156">
        <v>43715</v>
      </c>
      <c r="C488" s="155" t="s">
        <v>382</v>
      </c>
      <c r="D488" s="157">
        <v>200</v>
      </c>
      <c r="E488" s="155">
        <v>2</v>
      </c>
      <c r="F488" s="157">
        <f t="shared" si="7"/>
        <v>400</v>
      </c>
    </row>
    <row r="489" spans="1:6">
      <c r="A489" s="155" t="s">
        <v>383</v>
      </c>
      <c r="B489" s="156">
        <v>43716</v>
      </c>
      <c r="C489" s="155" t="s">
        <v>73</v>
      </c>
      <c r="D489" s="157">
        <v>6000</v>
      </c>
      <c r="E489" s="155">
        <v>4</v>
      </c>
      <c r="F489" s="157">
        <f t="shared" si="7"/>
        <v>24000</v>
      </c>
    </row>
    <row r="490" spans="1:6">
      <c r="A490" s="155" t="s">
        <v>383</v>
      </c>
      <c r="B490" s="156">
        <v>43716</v>
      </c>
      <c r="C490" s="155" t="s">
        <v>381</v>
      </c>
      <c r="D490" s="157">
        <v>600</v>
      </c>
      <c r="E490" s="155">
        <v>4</v>
      </c>
      <c r="F490" s="157">
        <f t="shared" si="7"/>
        <v>2400</v>
      </c>
    </row>
    <row r="491" spans="1:6">
      <c r="A491" s="155" t="s">
        <v>380</v>
      </c>
      <c r="B491" s="156">
        <v>43717</v>
      </c>
      <c r="C491" s="155" t="s">
        <v>379</v>
      </c>
      <c r="D491" s="157">
        <v>150</v>
      </c>
      <c r="E491" s="155">
        <v>4</v>
      </c>
      <c r="F491" s="157">
        <f t="shared" si="7"/>
        <v>600</v>
      </c>
    </row>
    <row r="492" spans="1:6">
      <c r="A492" s="155" t="s">
        <v>159</v>
      </c>
      <c r="B492" s="156">
        <v>43717</v>
      </c>
      <c r="C492" s="155" t="s">
        <v>372</v>
      </c>
      <c r="D492" s="157">
        <v>450</v>
      </c>
      <c r="E492" s="155">
        <v>1</v>
      </c>
      <c r="F492" s="157">
        <f t="shared" si="7"/>
        <v>450</v>
      </c>
    </row>
    <row r="493" spans="1:6">
      <c r="A493" s="155" t="s">
        <v>384</v>
      </c>
      <c r="B493" s="156">
        <v>43719</v>
      </c>
      <c r="C493" s="155" t="s">
        <v>382</v>
      </c>
      <c r="D493" s="157">
        <v>200</v>
      </c>
      <c r="E493" s="155">
        <v>2</v>
      </c>
      <c r="F493" s="157">
        <f t="shared" si="7"/>
        <v>400</v>
      </c>
    </row>
    <row r="494" spans="1:6">
      <c r="A494" s="155" t="s">
        <v>383</v>
      </c>
      <c r="B494" s="156">
        <v>43720</v>
      </c>
      <c r="C494" s="155" t="s">
        <v>379</v>
      </c>
      <c r="D494" s="157">
        <v>150</v>
      </c>
      <c r="E494" s="155">
        <v>4</v>
      </c>
      <c r="F494" s="157">
        <f t="shared" si="7"/>
        <v>600</v>
      </c>
    </row>
    <row r="495" spans="1:6">
      <c r="A495" s="155" t="s">
        <v>383</v>
      </c>
      <c r="B495" s="156">
        <v>43720</v>
      </c>
      <c r="C495" s="155" t="s">
        <v>390</v>
      </c>
      <c r="D495" s="157">
        <v>300</v>
      </c>
      <c r="E495" s="155">
        <v>3</v>
      </c>
      <c r="F495" s="157">
        <f t="shared" si="7"/>
        <v>900</v>
      </c>
    </row>
    <row r="496" spans="1:6">
      <c r="A496" s="155" t="s">
        <v>159</v>
      </c>
      <c r="B496" s="156">
        <v>43720</v>
      </c>
      <c r="C496" s="155" t="s">
        <v>379</v>
      </c>
      <c r="D496" s="157">
        <v>150</v>
      </c>
      <c r="E496" s="155">
        <v>2</v>
      </c>
      <c r="F496" s="157">
        <f t="shared" si="7"/>
        <v>300</v>
      </c>
    </row>
    <row r="497" spans="1:6">
      <c r="A497" s="155" t="s">
        <v>378</v>
      </c>
      <c r="B497" s="156">
        <v>43720</v>
      </c>
      <c r="C497" s="155" t="s">
        <v>390</v>
      </c>
      <c r="D497" s="157">
        <v>300</v>
      </c>
      <c r="E497" s="155">
        <v>3</v>
      </c>
      <c r="F497" s="157">
        <f t="shared" si="7"/>
        <v>900</v>
      </c>
    </row>
    <row r="498" spans="1:6">
      <c r="A498" s="155" t="s">
        <v>380</v>
      </c>
      <c r="B498" s="156">
        <v>43720</v>
      </c>
      <c r="C498" s="155" t="s">
        <v>381</v>
      </c>
      <c r="D498" s="157">
        <v>600</v>
      </c>
      <c r="E498" s="155">
        <v>2</v>
      </c>
      <c r="F498" s="157">
        <f t="shared" si="7"/>
        <v>1200</v>
      </c>
    </row>
    <row r="499" spans="1:6">
      <c r="A499" s="155" t="s">
        <v>386</v>
      </c>
      <c r="B499" s="156">
        <v>43720</v>
      </c>
      <c r="C499" s="155" t="s">
        <v>379</v>
      </c>
      <c r="D499" s="157">
        <v>150</v>
      </c>
      <c r="E499" s="155">
        <v>1</v>
      </c>
      <c r="F499" s="157">
        <f t="shared" si="7"/>
        <v>150</v>
      </c>
    </row>
    <row r="500" spans="1:6">
      <c r="A500" s="155" t="s">
        <v>380</v>
      </c>
      <c r="B500" s="156">
        <v>43721</v>
      </c>
      <c r="C500" s="155" t="s">
        <v>390</v>
      </c>
      <c r="D500" s="157">
        <v>300</v>
      </c>
      <c r="E500" s="155">
        <v>1</v>
      </c>
      <c r="F500" s="157">
        <f t="shared" si="7"/>
        <v>300</v>
      </c>
    </row>
    <row r="501" spans="1:6">
      <c r="A501" s="155" t="s">
        <v>378</v>
      </c>
      <c r="B501" s="156">
        <v>43721</v>
      </c>
      <c r="C501" s="155" t="s">
        <v>372</v>
      </c>
      <c r="D501" s="157">
        <v>450</v>
      </c>
      <c r="E501" s="155">
        <v>4</v>
      </c>
      <c r="F501" s="157">
        <f t="shared" si="7"/>
        <v>1800</v>
      </c>
    </row>
    <row r="502" spans="1:6">
      <c r="A502" s="155" t="s">
        <v>386</v>
      </c>
      <c r="B502" s="156">
        <v>43721</v>
      </c>
      <c r="C502" s="155" t="s">
        <v>381</v>
      </c>
      <c r="D502" s="157">
        <v>600</v>
      </c>
      <c r="E502" s="155">
        <v>2</v>
      </c>
      <c r="F502" s="157">
        <f t="shared" si="7"/>
        <v>1200</v>
      </c>
    </row>
    <row r="503" spans="1:6">
      <c r="A503" s="155" t="s">
        <v>383</v>
      </c>
      <c r="B503" s="156">
        <v>43721</v>
      </c>
      <c r="C503" s="155" t="s">
        <v>379</v>
      </c>
      <c r="D503" s="157">
        <v>150</v>
      </c>
      <c r="E503" s="155">
        <v>1</v>
      </c>
      <c r="F503" s="157">
        <f t="shared" si="7"/>
        <v>150</v>
      </c>
    </row>
    <row r="504" spans="1:6">
      <c r="A504" s="155" t="s">
        <v>378</v>
      </c>
      <c r="B504" s="156">
        <v>43721</v>
      </c>
      <c r="C504" s="155" t="s">
        <v>73</v>
      </c>
      <c r="D504" s="157">
        <v>6000</v>
      </c>
      <c r="E504" s="155">
        <v>1</v>
      </c>
      <c r="F504" s="157">
        <f t="shared" si="7"/>
        <v>6000</v>
      </c>
    </row>
    <row r="505" spans="1:6">
      <c r="A505" s="155" t="s">
        <v>380</v>
      </c>
      <c r="B505" s="156">
        <v>43723</v>
      </c>
      <c r="C505" s="155" t="s">
        <v>372</v>
      </c>
      <c r="D505" s="157">
        <v>450</v>
      </c>
      <c r="E505" s="155">
        <v>2</v>
      </c>
      <c r="F505" s="157">
        <f t="shared" si="7"/>
        <v>900</v>
      </c>
    </row>
    <row r="506" spans="1:6">
      <c r="A506" s="155" t="s">
        <v>384</v>
      </c>
      <c r="B506" s="156">
        <v>43723</v>
      </c>
      <c r="C506" s="155" t="s">
        <v>382</v>
      </c>
      <c r="D506" s="157">
        <v>200</v>
      </c>
      <c r="E506" s="155">
        <v>3</v>
      </c>
      <c r="F506" s="157">
        <f t="shared" si="7"/>
        <v>600</v>
      </c>
    </row>
    <row r="507" spans="1:6">
      <c r="A507" s="155" t="s">
        <v>159</v>
      </c>
      <c r="B507" s="156">
        <v>43724</v>
      </c>
      <c r="C507" s="155" t="s">
        <v>385</v>
      </c>
      <c r="D507" s="157">
        <v>1800</v>
      </c>
      <c r="E507" s="155">
        <v>2</v>
      </c>
      <c r="F507" s="157">
        <f t="shared" si="7"/>
        <v>3600</v>
      </c>
    </row>
    <row r="508" spans="1:6">
      <c r="A508" s="155" t="s">
        <v>159</v>
      </c>
      <c r="B508" s="156">
        <v>43724</v>
      </c>
      <c r="C508" s="155" t="s">
        <v>379</v>
      </c>
      <c r="D508" s="157">
        <v>150</v>
      </c>
      <c r="E508" s="155">
        <v>2</v>
      </c>
      <c r="F508" s="157">
        <f t="shared" si="7"/>
        <v>300</v>
      </c>
    </row>
    <row r="509" spans="1:6">
      <c r="A509" s="155" t="s">
        <v>383</v>
      </c>
      <c r="B509" s="156">
        <v>43724</v>
      </c>
      <c r="C509" s="155" t="s">
        <v>381</v>
      </c>
      <c r="D509" s="157">
        <v>600</v>
      </c>
      <c r="E509" s="155">
        <v>1</v>
      </c>
      <c r="F509" s="157">
        <f t="shared" si="7"/>
        <v>600</v>
      </c>
    </row>
    <row r="510" spans="1:6">
      <c r="A510" s="155" t="s">
        <v>378</v>
      </c>
      <c r="B510" s="156">
        <v>43725</v>
      </c>
      <c r="C510" s="155" t="s">
        <v>381</v>
      </c>
      <c r="D510" s="157">
        <v>600</v>
      </c>
      <c r="E510" s="155">
        <v>2</v>
      </c>
      <c r="F510" s="157">
        <f t="shared" si="7"/>
        <v>1200</v>
      </c>
    </row>
    <row r="511" spans="1:6">
      <c r="A511" s="155" t="s">
        <v>386</v>
      </c>
      <c r="B511" s="156">
        <v>43725</v>
      </c>
      <c r="C511" s="155" t="s">
        <v>385</v>
      </c>
      <c r="D511" s="157">
        <v>1800</v>
      </c>
      <c r="E511" s="155">
        <v>4</v>
      </c>
      <c r="F511" s="157">
        <f t="shared" si="7"/>
        <v>7200</v>
      </c>
    </row>
    <row r="512" spans="1:6">
      <c r="A512" s="155" t="s">
        <v>383</v>
      </c>
      <c r="B512" s="156">
        <v>43725</v>
      </c>
      <c r="C512" s="155" t="s">
        <v>385</v>
      </c>
      <c r="D512" s="157">
        <v>1800</v>
      </c>
      <c r="E512" s="155">
        <v>3</v>
      </c>
      <c r="F512" s="157">
        <f t="shared" si="7"/>
        <v>5400</v>
      </c>
    </row>
    <row r="513" spans="1:6">
      <c r="A513" s="155" t="s">
        <v>380</v>
      </c>
      <c r="B513" s="156">
        <v>43725</v>
      </c>
      <c r="C513" s="155" t="s">
        <v>73</v>
      </c>
      <c r="D513" s="157">
        <v>6000</v>
      </c>
      <c r="E513" s="155">
        <v>3</v>
      </c>
      <c r="F513" s="157">
        <f t="shared" si="7"/>
        <v>18000</v>
      </c>
    </row>
    <row r="514" spans="1:6">
      <c r="A514" s="155" t="s">
        <v>378</v>
      </c>
      <c r="B514" s="156">
        <v>43725</v>
      </c>
      <c r="C514" s="155" t="s">
        <v>73</v>
      </c>
      <c r="D514" s="157">
        <v>6000</v>
      </c>
      <c r="E514" s="155">
        <v>2</v>
      </c>
      <c r="F514" s="157">
        <f t="shared" si="7"/>
        <v>12000</v>
      </c>
    </row>
    <row r="515" spans="1:6">
      <c r="A515" s="155" t="s">
        <v>380</v>
      </c>
      <c r="B515" s="156">
        <v>43725</v>
      </c>
      <c r="C515" s="155" t="s">
        <v>372</v>
      </c>
      <c r="D515" s="157">
        <v>450</v>
      </c>
      <c r="E515" s="155">
        <v>2</v>
      </c>
      <c r="F515" s="157">
        <f t="shared" si="7"/>
        <v>900</v>
      </c>
    </row>
    <row r="516" spans="1:6">
      <c r="A516" s="155" t="s">
        <v>383</v>
      </c>
      <c r="B516" s="156">
        <v>43725</v>
      </c>
      <c r="C516" s="155" t="s">
        <v>382</v>
      </c>
      <c r="D516" s="157">
        <v>200</v>
      </c>
      <c r="E516" s="155">
        <v>1</v>
      </c>
      <c r="F516" s="157">
        <f t="shared" si="7"/>
        <v>200</v>
      </c>
    </row>
    <row r="517" spans="1:6">
      <c r="A517" s="155" t="s">
        <v>383</v>
      </c>
      <c r="B517" s="156">
        <v>43726</v>
      </c>
      <c r="C517" s="155" t="s">
        <v>379</v>
      </c>
      <c r="D517" s="157">
        <v>150</v>
      </c>
      <c r="E517" s="155">
        <v>2</v>
      </c>
      <c r="F517" s="157">
        <f t="shared" si="7"/>
        <v>300</v>
      </c>
    </row>
    <row r="518" spans="1:6">
      <c r="A518" s="155" t="s">
        <v>384</v>
      </c>
      <c r="B518" s="156">
        <v>43727</v>
      </c>
      <c r="C518" s="155" t="s">
        <v>385</v>
      </c>
      <c r="D518" s="157">
        <v>1800</v>
      </c>
      <c r="E518" s="155">
        <v>2</v>
      </c>
      <c r="F518" s="157">
        <f t="shared" si="7"/>
        <v>3600</v>
      </c>
    </row>
    <row r="519" spans="1:6">
      <c r="A519" s="155" t="s">
        <v>380</v>
      </c>
      <c r="B519" s="156">
        <v>43727</v>
      </c>
      <c r="C519" s="155" t="s">
        <v>73</v>
      </c>
      <c r="D519" s="157">
        <v>6000</v>
      </c>
      <c r="E519" s="155">
        <v>4</v>
      </c>
      <c r="F519" s="157">
        <f t="shared" si="7"/>
        <v>24000</v>
      </c>
    </row>
    <row r="520" spans="1:6">
      <c r="A520" s="155" t="s">
        <v>378</v>
      </c>
      <c r="B520" s="156">
        <v>43727</v>
      </c>
      <c r="C520" s="155" t="s">
        <v>73</v>
      </c>
      <c r="D520" s="157">
        <v>6000</v>
      </c>
      <c r="E520" s="155">
        <v>4</v>
      </c>
      <c r="F520" s="157">
        <f t="shared" si="7"/>
        <v>24000</v>
      </c>
    </row>
    <row r="521" spans="1:6">
      <c r="A521" s="155" t="s">
        <v>159</v>
      </c>
      <c r="B521" s="156">
        <v>43728</v>
      </c>
      <c r="C521" s="155" t="s">
        <v>390</v>
      </c>
      <c r="D521" s="157">
        <v>300</v>
      </c>
      <c r="E521" s="155">
        <v>1</v>
      </c>
      <c r="F521" s="157">
        <f t="shared" ref="F521:F584" si="8">E521*D521</f>
        <v>300</v>
      </c>
    </row>
    <row r="522" spans="1:6">
      <c r="A522" s="155" t="s">
        <v>159</v>
      </c>
      <c r="B522" s="156">
        <v>43728</v>
      </c>
      <c r="C522" s="155" t="s">
        <v>73</v>
      </c>
      <c r="D522" s="157">
        <v>6000</v>
      </c>
      <c r="E522" s="155">
        <v>2</v>
      </c>
      <c r="F522" s="157">
        <f t="shared" si="8"/>
        <v>12000</v>
      </c>
    </row>
    <row r="523" spans="1:6">
      <c r="A523" s="155" t="s">
        <v>159</v>
      </c>
      <c r="B523" s="156">
        <v>43729</v>
      </c>
      <c r="C523" s="155" t="s">
        <v>379</v>
      </c>
      <c r="D523" s="157">
        <v>150</v>
      </c>
      <c r="E523" s="155">
        <v>3</v>
      </c>
      <c r="F523" s="157">
        <f t="shared" si="8"/>
        <v>450</v>
      </c>
    </row>
    <row r="524" spans="1:6">
      <c r="A524" s="155" t="s">
        <v>378</v>
      </c>
      <c r="B524" s="156">
        <v>43730</v>
      </c>
      <c r="C524" s="155" t="s">
        <v>385</v>
      </c>
      <c r="D524" s="157">
        <v>1800</v>
      </c>
      <c r="E524" s="155">
        <v>4</v>
      </c>
      <c r="F524" s="157">
        <f t="shared" si="8"/>
        <v>7200</v>
      </c>
    </row>
    <row r="525" spans="1:6">
      <c r="A525" s="155" t="s">
        <v>386</v>
      </c>
      <c r="B525" s="156">
        <v>43730</v>
      </c>
      <c r="C525" s="155" t="s">
        <v>379</v>
      </c>
      <c r="D525" s="157">
        <v>150</v>
      </c>
      <c r="E525" s="155">
        <v>2</v>
      </c>
      <c r="F525" s="157">
        <f t="shared" si="8"/>
        <v>300</v>
      </c>
    </row>
    <row r="526" spans="1:6">
      <c r="A526" s="155" t="s">
        <v>378</v>
      </c>
      <c r="B526" s="156">
        <v>43731</v>
      </c>
      <c r="C526" s="155" t="s">
        <v>379</v>
      </c>
      <c r="D526" s="157">
        <v>150</v>
      </c>
      <c r="E526" s="155">
        <v>3</v>
      </c>
      <c r="F526" s="157">
        <f t="shared" si="8"/>
        <v>450</v>
      </c>
    </row>
    <row r="527" spans="1:6">
      <c r="A527" s="155" t="s">
        <v>384</v>
      </c>
      <c r="B527" s="156">
        <v>43731</v>
      </c>
      <c r="C527" s="155" t="s">
        <v>385</v>
      </c>
      <c r="D527" s="157">
        <v>1800</v>
      </c>
      <c r="E527" s="155">
        <v>2</v>
      </c>
      <c r="F527" s="157">
        <f t="shared" si="8"/>
        <v>3600</v>
      </c>
    </row>
    <row r="528" spans="1:6">
      <c r="A528" s="155" t="s">
        <v>380</v>
      </c>
      <c r="B528" s="156">
        <v>43733</v>
      </c>
      <c r="C528" s="155" t="s">
        <v>390</v>
      </c>
      <c r="D528" s="157">
        <v>300</v>
      </c>
      <c r="E528" s="155">
        <v>3</v>
      </c>
      <c r="F528" s="157">
        <f t="shared" si="8"/>
        <v>900</v>
      </c>
    </row>
    <row r="529" spans="1:6">
      <c r="A529" s="155" t="s">
        <v>378</v>
      </c>
      <c r="B529" s="156">
        <v>43733</v>
      </c>
      <c r="C529" s="155" t="s">
        <v>385</v>
      </c>
      <c r="D529" s="157">
        <v>1800</v>
      </c>
      <c r="E529" s="155">
        <v>4</v>
      </c>
      <c r="F529" s="157">
        <f t="shared" si="8"/>
        <v>7200</v>
      </c>
    </row>
    <row r="530" spans="1:6">
      <c r="A530" s="155" t="s">
        <v>378</v>
      </c>
      <c r="B530" s="156">
        <v>43734</v>
      </c>
      <c r="C530" s="155" t="s">
        <v>382</v>
      </c>
      <c r="D530" s="157">
        <v>200</v>
      </c>
      <c r="E530" s="155">
        <v>4</v>
      </c>
      <c r="F530" s="157">
        <f t="shared" si="8"/>
        <v>800</v>
      </c>
    </row>
    <row r="531" spans="1:6">
      <c r="A531" s="155" t="s">
        <v>380</v>
      </c>
      <c r="B531" s="156">
        <v>43734</v>
      </c>
      <c r="C531" s="155" t="s">
        <v>379</v>
      </c>
      <c r="D531" s="157">
        <v>150</v>
      </c>
      <c r="E531" s="155">
        <v>3</v>
      </c>
      <c r="F531" s="157">
        <f t="shared" si="8"/>
        <v>450</v>
      </c>
    </row>
    <row r="532" spans="1:6">
      <c r="A532" s="155" t="s">
        <v>159</v>
      </c>
      <c r="B532" s="156">
        <v>43735</v>
      </c>
      <c r="C532" s="155" t="s">
        <v>390</v>
      </c>
      <c r="D532" s="157">
        <v>300</v>
      </c>
      <c r="E532" s="155">
        <v>2</v>
      </c>
      <c r="F532" s="157">
        <f t="shared" si="8"/>
        <v>600</v>
      </c>
    </row>
    <row r="533" spans="1:6">
      <c r="A533" s="155" t="s">
        <v>383</v>
      </c>
      <c r="B533" s="156">
        <v>43735</v>
      </c>
      <c r="C533" s="155" t="s">
        <v>381</v>
      </c>
      <c r="D533" s="157">
        <v>600</v>
      </c>
      <c r="E533" s="155">
        <v>2</v>
      </c>
      <c r="F533" s="157">
        <f t="shared" si="8"/>
        <v>1200</v>
      </c>
    </row>
    <row r="534" spans="1:6">
      <c r="A534" s="155" t="s">
        <v>386</v>
      </c>
      <c r="B534" s="156">
        <v>43736</v>
      </c>
      <c r="C534" s="155" t="s">
        <v>381</v>
      </c>
      <c r="D534" s="157">
        <v>600</v>
      </c>
      <c r="E534" s="155">
        <v>3</v>
      </c>
      <c r="F534" s="157">
        <f t="shared" si="8"/>
        <v>1800</v>
      </c>
    </row>
    <row r="535" spans="1:6">
      <c r="A535" s="155" t="s">
        <v>383</v>
      </c>
      <c r="B535" s="156">
        <v>43738</v>
      </c>
      <c r="C535" s="155" t="s">
        <v>379</v>
      </c>
      <c r="D535" s="157">
        <v>150</v>
      </c>
      <c r="E535" s="155">
        <v>2</v>
      </c>
      <c r="F535" s="157">
        <f t="shared" si="8"/>
        <v>300</v>
      </c>
    </row>
    <row r="536" spans="1:6">
      <c r="A536" s="155" t="s">
        <v>380</v>
      </c>
      <c r="B536" s="156">
        <v>43738</v>
      </c>
      <c r="C536" s="155" t="s">
        <v>379</v>
      </c>
      <c r="D536" s="157">
        <v>150</v>
      </c>
      <c r="E536" s="155">
        <v>3</v>
      </c>
      <c r="F536" s="157">
        <f t="shared" si="8"/>
        <v>450</v>
      </c>
    </row>
    <row r="537" spans="1:6">
      <c r="A537" s="155" t="s">
        <v>383</v>
      </c>
      <c r="B537" s="156">
        <v>43738</v>
      </c>
      <c r="C537" s="155" t="s">
        <v>73</v>
      </c>
      <c r="D537" s="157">
        <v>6000</v>
      </c>
      <c r="E537" s="155">
        <v>1</v>
      </c>
      <c r="F537" s="157">
        <f t="shared" si="8"/>
        <v>6000</v>
      </c>
    </row>
    <row r="538" spans="1:6">
      <c r="A538" s="155" t="s">
        <v>384</v>
      </c>
      <c r="B538" s="156">
        <v>43739</v>
      </c>
      <c r="C538" s="155" t="s">
        <v>382</v>
      </c>
      <c r="D538" s="157">
        <v>200</v>
      </c>
      <c r="E538" s="155">
        <v>3</v>
      </c>
      <c r="F538" s="157">
        <f t="shared" si="8"/>
        <v>600</v>
      </c>
    </row>
    <row r="539" spans="1:6">
      <c r="A539" s="155" t="s">
        <v>384</v>
      </c>
      <c r="B539" s="156">
        <v>43739</v>
      </c>
      <c r="C539" s="155" t="s">
        <v>390</v>
      </c>
      <c r="D539" s="157">
        <v>300</v>
      </c>
      <c r="E539" s="155">
        <v>1</v>
      </c>
      <c r="F539" s="157">
        <f t="shared" si="8"/>
        <v>300</v>
      </c>
    </row>
    <row r="540" spans="1:6">
      <c r="A540" s="155" t="s">
        <v>383</v>
      </c>
      <c r="B540" s="156">
        <v>43741</v>
      </c>
      <c r="C540" s="155" t="s">
        <v>382</v>
      </c>
      <c r="D540" s="157">
        <v>200</v>
      </c>
      <c r="E540" s="155">
        <v>4</v>
      </c>
      <c r="F540" s="157">
        <f t="shared" si="8"/>
        <v>800</v>
      </c>
    </row>
    <row r="541" spans="1:6">
      <c r="A541" s="155" t="s">
        <v>380</v>
      </c>
      <c r="B541" s="156">
        <v>43742</v>
      </c>
      <c r="C541" s="155" t="s">
        <v>390</v>
      </c>
      <c r="D541" s="157">
        <v>300</v>
      </c>
      <c r="E541" s="155">
        <v>4</v>
      </c>
      <c r="F541" s="157">
        <f t="shared" si="8"/>
        <v>1200</v>
      </c>
    </row>
    <row r="542" spans="1:6">
      <c r="A542" s="155" t="s">
        <v>380</v>
      </c>
      <c r="B542" s="156">
        <v>43743</v>
      </c>
      <c r="C542" s="155" t="s">
        <v>372</v>
      </c>
      <c r="D542" s="157">
        <v>450</v>
      </c>
      <c r="E542" s="155">
        <v>2</v>
      </c>
      <c r="F542" s="157">
        <f t="shared" si="8"/>
        <v>900</v>
      </c>
    </row>
    <row r="543" spans="1:6">
      <c r="A543" s="155" t="s">
        <v>378</v>
      </c>
      <c r="B543" s="156">
        <v>43744</v>
      </c>
      <c r="C543" s="155" t="s">
        <v>73</v>
      </c>
      <c r="D543" s="157">
        <v>6000</v>
      </c>
      <c r="E543" s="155">
        <v>2</v>
      </c>
      <c r="F543" s="157">
        <f t="shared" si="8"/>
        <v>12000</v>
      </c>
    </row>
    <row r="544" spans="1:6">
      <c r="A544" s="155" t="s">
        <v>386</v>
      </c>
      <c r="B544" s="156">
        <v>43744</v>
      </c>
      <c r="C544" s="155" t="s">
        <v>385</v>
      </c>
      <c r="D544" s="157">
        <v>1800</v>
      </c>
      <c r="E544" s="155">
        <v>2</v>
      </c>
      <c r="F544" s="157">
        <f t="shared" si="8"/>
        <v>3600</v>
      </c>
    </row>
    <row r="545" spans="1:6">
      <c r="A545" s="155" t="s">
        <v>386</v>
      </c>
      <c r="B545" s="156">
        <v>43745</v>
      </c>
      <c r="C545" s="155" t="s">
        <v>385</v>
      </c>
      <c r="D545" s="157">
        <v>1800</v>
      </c>
      <c r="E545" s="155">
        <v>1</v>
      </c>
      <c r="F545" s="157">
        <f t="shared" si="8"/>
        <v>1800</v>
      </c>
    </row>
    <row r="546" spans="1:6">
      <c r="A546" s="155" t="s">
        <v>384</v>
      </c>
      <c r="B546" s="156">
        <v>43745</v>
      </c>
      <c r="C546" s="155" t="s">
        <v>73</v>
      </c>
      <c r="D546" s="157">
        <v>6000</v>
      </c>
      <c r="E546" s="155">
        <v>1</v>
      </c>
      <c r="F546" s="157">
        <f t="shared" si="8"/>
        <v>6000</v>
      </c>
    </row>
    <row r="547" spans="1:6">
      <c r="A547" s="155" t="s">
        <v>380</v>
      </c>
      <c r="B547" s="156">
        <v>43745</v>
      </c>
      <c r="C547" s="155" t="s">
        <v>390</v>
      </c>
      <c r="D547" s="157">
        <v>300</v>
      </c>
      <c r="E547" s="155">
        <v>1</v>
      </c>
      <c r="F547" s="157">
        <f t="shared" si="8"/>
        <v>300</v>
      </c>
    </row>
    <row r="548" spans="1:6">
      <c r="A548" s="155" t="s">
        <v>159</v>
      </c>
      <c r="B548" s="156">
        <v>43747</v>
      </c>
      <c r="C548" s="155" t="s">
        <v>73</v>
      </c>
      <c r="D548" s="157">
        <v>6000</v>
      </c>
      <c r="E548" s="155">
        <v>1</v>
      </c>
      <c r="F548" s="157">
        <f t="shared" si="8"/>
        <v>6000</v>
      </c>
    </row>
    <row r="549" spans="1:6">
      <c r="A549" s="155" t="s">
        <v>386</v>
      </c>
      <c r="B549" s="156">
        <v>43747</v>
      </c>
      <c r="C549" s="155" t="s">
        <v>73</v>
      </c>
      <c r="D549" s="157">
        <v>6000</v>
      </c>
      <c r="E549" s="155">
        <v>3</v>
      </c>
      <c r="F549" s="157">
        <f t="shared" si="8"/>
        <v>18000</v>
      </c>
    </row>
    <row r="550" spans="1:6">
      <c r="A550" s="155" t="s">
        <v>159</v>
      </c>
      <c r="B550" s="156">
        <v>43747</v>
      </c>
      <c r="C550" s="155" t="s">
        <v>382</v>
      </c>
      <c r="D550" s="157">
        <v>200</v>
      </c>
      <c r="E550" s="155">
        <v>2</v>
      </c>
      <c r="F550" s="157">
        <f t="shared" si="8"/>
        <v>400</v>
      </c>
    </row>
    <row r="551" spans="1:6">
      <c r="A551" s="155" t="s">
        <v>383</v>
      </c>
      <c r="B551" s="156">
        <v>43747</v>
      </c>
      <c r="C551" s="155" t="s">
        <v>381</v>
      </c>
      <c r="D551" s="157">
        <v>600</v>
      </c>
      <c r="E551" s="155">
        <v>2</v>
      </c>
      <c r="F551" s="157">
        <f t="shared" si="8"/>
        <v>1200</v>
      </c>
    </row>
    <row r="552" spans="1:6">
      <c r="A552" s="155" t="s">
        <v>384</v>
      </c>
      <c r="B552" s="156">
        <v>43747</v>
      </c>
      <c r="C552" s="155" t="s">
        <v>382</v>
      </c>
      <c r="D552" s="157">
        <v>200</v>
      </c>
      <c r="E552" s="155">
        <v>2</v>
      </c>
      <c r="F552" s="157">
        <f t="shared" si="8"/>
        <v>400</v>
      </c>
    </row>
    <row r="553" spans="1:6">
      <c r="A553" s="155" t="s">
        <v>159</v>
      </c>
      <c r="B553" s="156">
        <v>43748</v>
      </c>
      <c r="C553" s="155" t="s">
        <v>381</v>
      </c>
      <c r="D553" s="157">
        <v>600</v>
      </c>
      <c r="E553" s="155">
        <v>4</v>
      </c>
      <c r="F553" s="157">
        <f t="shared" si="8"/>
        <v>2400</v>
      </c>
    </row>
    <row r="554" spans="1:6">
      <c r="A554" s="155" t="s">
        <v>386</v>
      </c>
      <c r="B554" s="156">
        <v>43749</v>
      </c>
      <c r="C554" s="155" t="s">
        <v>73</v>
      </c>
      <c r="D554" s="157">
        <v>6000</v>
      </c>
      <c r="E554" s="155">
        <v>3</v>
      </c>
      <c r="F554" s="157">
        <f t="shared" si="8"/>
        <v>18000</v>
      </c>
    </row>
    <row r="555" spans="1:6">
      <c r="A555" s="155" t="s">
        <v>380</v>
      </c>
      <c r="B555" s="156">
        <v>43749</v>
      </c>
      <c r="C555" s="155" t="s">
        <v>73</v>
      </c>
      <c r="D555" s="157">
        <v>6000</v>
      </c>
      <c r="E555" s="155">
        <v>2</v>
      </c>
      <c r="F555" s="157">
        <f t="shared" si="8"/>
        <v>12000</v>
      </c>
    </row>
    <row r="556" spans="1:6">
      <c r="A556" s="155" t="s">
        <v>383</v>
      </c>
      <c r="B556" s="156">
        <v>43750</v>
      </c>
      <c r="C556" s="155" t="s">
        <v>379</v>
      </c>
      <c r="D556" s="157">
        <v>150</v>
      </c>
      <c r="E556" s="155">
        <v>3</v>
      </c>
      <c r="F556" s="157">
        <f t="shared" si="8"/>
        <v>450</v>
      </c>
    </row>
    <row r="557" spans="1:6">
      <c r="A557" s="155" t="s">
        <v>159</v>
      </c>
      <c r="B557" s="156">
        <v>43751</v>
      </c>
      <c r="C557" s="155" t="s">
        <v>382</v>
      </c>
      <c r="D557" s="157">
        <v>200</v>
      </c>
      <c r="E557" s="155">
        <v>3</v>
      </c>
      <c r="F557" s="157">
        <f t="shared" si="8"/>
        <v>600</v>
      </c>
    </row>
    <row r="558" spans="1:6">
      <c r="A558" s="155" t="s">
        <v>378</v>
      </c>
      <c r="B558" s="156">
        <v>43751</v>
      </c>
      <c r="C558" s="155" t="s">
        <v>390</v>
      </c>
      <c r="D558" s="157">
        <v>300</v>
      </c>
      <c r="E558" s="155">
        <v>4</v>
      </c>
      <c r="F558" s="157">
        <f t="shared" si="8"/>
        <v>1200</v>
      </c>
    </row>
    <row r="559" spans="1:6">
      <c r="A559" s="155" t="s">
        <v>384</v>
      </c>
      <c r="B559" s="156">
        <v>43751</v>
      </c>
      <c r="C559" s="155" t="s">
        <v>381</v>
      </c>
      <c r="D559" s="157">
        <v>600</v>
      </c>
      <c r="E559" s="155">
        <v>4</v>
      </c>
      <c r="F559" s="157">
        <f t="shared" si="8"/>
        <v>2400</v>
      </c>
    </row>
    <row r="560" spans="1:6">
      <c r="A560" s="155" t="s">
        <v>380</v>
      </c>
      <c r="B560" s="156">
        <v>43752</v>
      </c>
      <c r="C560" s="155" t="s">
        <v>73</v>
      </c>
      <c r="D560" s="157">
        <v>6000</v>
      </c>
      <c r="E560" s="155">
        <v>2</v>
      </c>
      <c r="F560" s="157">
        <f t="shared" si="8"/>
        <v>12000</v>
      </c>
    </row>
    <row r="561" spans="1:6">
      <c r="A561" s="155" t="s">
        <v>378</v>
      </c>
      <c r="B561" s="156">
        <v>43752</v>
      </c>
      <c r="C561" s="155" t="s">
        <v>385</v>
      </c>
      <c r="D561" s="157">
        <v>1800</v>
      </c>
      <c r="E561" s="155">
        <v>1</v>
      </c>
      <c r="F561" s="157">
        <f t="shared" si="8"/>
        <v>1800</v>
      </c>
    </row>
    <row r="562" spans="1:6">
      <c r="A562" s="155" t="s">
        <v>384</v>
      </c>
      <c r="B562" s="156">
        <v>43752</v>
      </c>
      <c r="C562" s="155" t="s">
        <v>382</v>
      </c>
      <c r="D562" s="157">
        <v>200</v>
      </c>
      <c r="E562" s="155">
        <v>2</v>
      </c>
      <c r="F562" s="157">
        <f t="shared" si="8"/>
        <v>400</v>
      </c>
    </row>
    <row r="563" spans="1:6">
      <c r="A563" s="155" t="s">
        <v>384</v>
      </c>
      <c r="B563" s="156">
        <v>43752</v>
      </c>
      <c r="C563" s="155" t="s">
        <v>73</v>
      </c>
      <c r="D563" s="157">
        <v>6000</v>
      </c>
      <c r="E563" s="155">
        <v>2</v>
      </c>
      <c r="F563" s="157">
        <f t="shared" si="8"/>
        <v>12000</v>
      </c>
    </row>
    <row r="564" spans="1:6">
      <c r="A564" s="155" t="s">
        <v>383</v>
      </c>
      <c r="B564" s="156">
        <v>43753</v>
      </c>
      <c r="C564" s="155" t="s">
        <v>390</v>
      </c>
      <c r="D564" s="157">
        <v>300</v>
      </c>
      <c r="E564" s="155">
        <v>3</v>
      </c>
      <c r="F564" s="157">
        <f t="shared" si="8"/>
        <v>900</v>
      </c>
    </row>
    <row r="565" spans="1:6">
      <c r="A565" s="155" t="s">
        <v>384</v>
      </c>
      <c r="B565" s="156">
        <v>43753</v>
      </c>
      <c r="C565" s="155" t="s">
        <v>372</v>
      </c>
      <c r="D565" s="157">
        <v>450</v>
      </c>
      <c r="E565" s="155">
        <v>3</v>
      </c>
      <c r="F565" s="157">
        <f t="shared" si="8"/>
        <v>1350</v>
      </c>
    </row>
    <row r="566" spans="1:6">
      <c r="A566" s="155" t="s">
        <v>378</v>
      </c>
      <c r="B566" s="156">
        <v>43755</v>
      </c>
      <c r="C566" s="155" t="s">
        <v>372</v>
      </c>
      <c r="D566" s="157">
        <v>450</v>
      </c>
      <c r="E566" s="155">
        <v>1</v>
      </c>
      <c r="F566" s="157">
        <f t="shared" si="8"/>
        <v>450</v>
      </c>
    </row>
    <row r="567" spans="1:6">
      <c r="A567" s="155" t="s">
        <v>386</v>
      </c>
      <c r="B567" s="156">
        <v>43755</v>
      </c>
      <c r="C567" s="155" t="s">
        <v>73</v>
      </c>
      <c r="D567" s="157">
        <v>6000</v>
      </c>
      <c r="E567" s="155">
        <v>2</v>
      </c>
      <c r="F567" s="157">
        <f t="shared" si="8"/>
        <v>12000</v>
      </c>
    </row>
    <row r="568" spans="1:6">
      <c r="A568" s="155" t="s">
        <v>378</v>
      </c>
      <c r="B568" s="156">
        <v>43756</v>
      </c>
      <c r="C568" s="155" t="s">
        <v>390</v>
      </c>
      <c r="D568" s="157">
        <v>300</v>
      </c>
      <c r="E568" s="155">
        <v>4</v>
      </c>
      <c r="F568" s="157">
        <f t="shared" si="8"/>
        <v>1200</v>
      </c>
    </row>
    <row r="569" spans="1:6">
      <c r="A569" s="155" t="s">
        <v>159</v>
      </c>
      <c r="B569" s="156">
        <v>43757</v>
      </c>
      <c r="C569" s="155" t="s">
        <v>385</v>
      </c>
      <c r="D569" s="157">
        <v>1800</v>
      </c>
      <c r="E569" s="155">
        <v>3</v>
      </c>
      <c r="F569" s="157">
        <f t="shared" si="8"/>
        <v>5400</v>
      </c>
    </row>
    <row r="570" spans="1:6">
      <c r="A570" s="155" t="s">
        <v>380</v>
      </c>
      <c r="B570" s="156">
        <v>43757</v>
      </c>
      <c r="C570" s="155" t="s">
        <v>390</v>
      </c>
      <c r="D570" s="157">
        <v>300</v>
      </c>
      <c r="E570" s="155">
        <v>4</v>
      </c>
      <c r="F570" s="157">
        <f t="shared" si="8"/>
        <v>1200</v>
      </c>
    </row>
    <row r="571" spans="1:6">
      <c r="A571" s="155" t="s">
        <v>159</v>
      </c>
      <c r="B571" s="156">
        <v>43758</v>
      </c>
      <c r="C571" s="155" t="s">
        <v>382</v>
      </c>
      <c r="D571" s="157">
        <v>200</v>
      </c>
      <c r="E571" s="155">
        <v>2</v>
      </c>
      <c r="F571" s="157">
        <f t="shared" si="8"/>
        <v>400</v>
      </c>
    </row>
    <row r="572" spans="1:6">
      <c r="A572" s="155" t="s">
        <v>380</v>
      </c>
      <c r="B572" s="156">
        <v>43759</v>
      </c>
      <c r="C572" s="155" t="s">
        <v>382</v>
      </c>
      <c r="D572" s="157">
        <v>200</v>
      </c>
      <c r="E572" s="155">
        <v>4</v>
      </c>
      <c r="F572" s="157">
        <f t="shared" si="8"/>
        <v>800</v>
      </c>
    </row>
    <row r="573" spans="1:6">
      <c r="A573" s="155" t="s">
        <v>380</v>
      </c>
      <c r="B573" s="156">
        <v>43759</v>
      </c>
      <c r="C573" s="155" t="s">
        <v>390</v>
      </c>
      <c r="D573" s="157">
        <v>300</v>
      </c>
      <c r="E573" s="155">
        <v>1</v>
      </c>
      <c r="F573" s="157">
        <f t="shared" si="8"/>
        <v>300</v>
      </c>
    </row>
    <row r="574" spans="1:6">
      <c r="A574" s="155" t="s">
        <v>386</v>
      </c>
      <c r="B574" s="156">
        <v>43760</v>
      </c>
      <c r="C574" s="155" t="s">
        <v>372</v>
      </c>
      <c r="D574" s="157">
        <v>450</v>
      </c>
      <c r="E574" s="155">
        <v>3</v>
      </c>
      <c r="F574" s="157">
        <f t="shared" si="8"/>
        <v>1350</v>
      </c>
    </row>
    <row r="575" spans="1:6">
      <c r="A575" s="155" t="s">
        <v>159</v>
      </c>
      <c r="B575" s="156">
        <v>43760</v>
      </c>
      <c r="C575" s="155" t="s">
        <v>381</v>
      </c>
      <c r="D575" s="157">
        <v>600</v>
      </c>
      <c r="E575" s="155">
        <v>1</v>
      </c>
      <c r="F575" s="157">
        <f t="shared" si="8"/>
        <v>600</v>
      </c>
    </row>
    <row r="576" spans="1:6">
      <c r="A576" s="155" t="s">
        <v>386</v>
      </c>
      <c r="B576" s="156">
        <v>43760</v>
      </c>
      <c r="C576" s="155" t="s">
        <v>372</v>
      </c>
      <c r="D576" s="157">
        <v>450</v>
      </c>
      <c r="E576" s="155">
        <v>1</v>
      </c>
      <c r="F576" s="157">
        <f t="shared" si="8"/>
        <v>450</v>
      </c>
    </row>
    <row r="577" spans="1:6">
      <c r="A577" s="155" t="s">
        <v>380</v>
      </c>
      <c r="B577" s="156">
        <v>43760</v>
      </c>
      <c r="C577" s="155" t="s">
        <v>372</v>
      </c>
      <c r="D577" s="157">
        <v>450</v>
      </c>
      <c r="E577" s="155">
        <v>2</v>
      </c>
      <c r="F577" s="157">
        <f t="shared" si="8"/>
        <v>900</v>
      </c>
    </row>
    <row r="578" spans="1:6">
      <c r="A578" s="155" t="s">
        <v>159</v>
      </c>
      <c r="B578" s="156">
        <v>43761</v>
      </c>
      <c r="C578" s="155" t="s">
        <v>381</v>
      </c>
      <c r="D578" s="157">
        <v>600</v>
      </c>
      <c r="E578" s="155">
        <v>1</v>
      </c>
      <c r="F578" s="157">
        <f t="shared" si="8"/>
        <v>600</v>
      </c>
    </row>
    <row r="579" spans="1:6">
      <c r="A579" s="155" t="s">
        <v>159</v>
      </c>
      <c r="B579" s="156">
        <v>43761</v>
      </c>
      <c r="C579" s="155" t="s">
        <v>73</v>
      </c>
      <c r="D579" s="157">
        <v>6000</v>
      </c>
      <c r="E579" s="155">
        <v>4</v>
      </c>
      <c r="F579" s="157">
        <f t="shared" si="8"/>
        <v>24000</v>
      </c>
    </row>
    <row r="580" spans="1:6">
      <c r="A580" s="155" t="s">
        <v>378</v>
      </c>
      <c r="B580" s="156">
        <v>43761</v>
      </c>
      <c r="C580" s="155" t="s">
        <v>379</v>
      </c>
      <c r="D580" s="157">
        <v>150</v>
      </c>
      <c r="E580" s="155">
        <v>3</v>
      </c>
      <c r="F580" s="157">
        <f t="shared" si="8"/>
        <v>450</v>
      </c>
    </row>
    <row r="581" spans="1:6">
      <c r="A581" s="155" t="s">
        <v>380</v>
      </c>
      <c r="B581" s="156">
        <v>43763</v>
      </c>
      <c r="C581" s="155" t="s">
        <v>372</v>
      </c>
      <c r="D581" s="157">
        <v>450</v>
      </c>
      <c r="E581" s="155">
        <v>4</v>
      </c>
      <c r="F581" s="157">
        <f t="shared" si="8"/>
        <v>1800</v>
      </c>
    </row>
    <row r="582" spans="1:6">
      <c r="A582" s="155" t="s">
        <v>380</v>
      </c>
      <c r="B582" s="156">
        <v>43764</v>
      </c>
      <c r="C582" s="155" t="s">
        <v>385</v>
      </c>
      <c r="D582" s="157">
        <v>1800</v>
      </c>
      <c r="E582" s="155">
        <v>3</v>
      </c>
      <c r="F582" s="157">
        <f t="shared" si="8"/>
        <v>5400</v>
      </c>
    </row>
    <row r="583" spans="1:6">
      <c r="A583" s="155" t="s">
        <v>386</v>
      </c>
      <c r="B583" s="156">
        <v>43765</v>
      </c>
      <c r="C583" s="155" t="s">
        <v>390</v>
      </c>
      <c r="D583" s="157">
        <v>300</v>
      </c>
      <c r="E583" s="155">
        <v>1</v>
      </c>
      <c r="F583" s="157">
        <f t="shared" si="8"/>
        <v>300</v>
      </c>
    </row>
    <row r="584" spans="1:6">
      <c r="A584" s="155" t="s">
        <v>380</v>
      </c>
      <c r="B584" s="156">
        <v>43765</v>
      </c>
      <c r="C584" s="155" t="s">
        <v>381</v>
      </c>
      <c r="D584" s="157">
        <v>600</v>
      </c>
      <c r="E584" s="155">
        <v>4</v>
      </c>
      <c r="F584" s="157">
        <f t="shared" si="8"/>
        <v>2400</v>
      </c>
    </row>
    <row r="585" spans="1:6">
      <c r="A585" s="155" t="s">
        <v>383</v>
      </c>
      <c r="B585" s="156">
        <v>43766</v>
      </c>
      <c r="C585" s="155" t="s">
        <v>382</v>
      </c>
      <c r="D585" s="157">
        <v>200</v>
      </c>
      <c r="E585" s="155">
        <v>2</v>
      </c>
      <c r="F585" s="157">
        <f t="shared" ref="F585:F648" si="9">E585*D585</f>
        <v>400</v>
      </c>
    </row>
    <row r="586" spans="1:6">
      <c r="A586" s="155" t="s">
        <v>383</v>
      </c>
      <c r="B586" s="156">
        <v>43766</v>
      </c>
      <c r="C586" s="155" t="s">
        <v>382</v>
      </c>
      <c r="D586" s="157">
        <v>200</v>
      </c>
      <c r="E586" s="155">
        <v>3</v>
      </c>
      <c r="F586" s="157">
        <f t="shared" si="9"/>
        <v>600</v>
      </c>
    </row>
    <row r="587" spans="1:6">
      <c r="A587" s="155" t="s">
        <v>159</v>
      </c>
      <c r="B587" s="156">
        <v>43767</v>
      </c>
      <c r="C587" s="155" t="s">
        <v>390</v>
      </c>
      <c r="D587" s="157">
        <v>300</v>
      </c>
      <c r="E587" s="155">
        <v>1</v>
      </c>
      <c r="F587" s="157">
        <f t="shared" si="9"/>
        <v>300</v>
      </c>
    </row>
    <row r="588" spans="1:6">
      <c r="A588" s="155" t="s">
        <v>383</v>
      </c>
      <c r="B588" s="156">
        <v>43767</v>
      </c>
      <c r="C588" s="155" t="s">
        <v>382</v>
      </c>
      <c r="D588" s="157">
        <v>200</v>
      </c>
      <c r="E588" s="155">
        <v>2</v>
      </c>
      <c r="F588" s="157">
        <f t="shared" si="9"/>
        <v>400</v>
      </c>
    </row>
    <row r="589" spans="1:6">
      <c r="A589" s="155" t="s">
        <v>384</v>
      </c>
      <c r="B589" s="156">
        <v>43768</v>
      </c>
      <c r="C589" s="155" t="s">
        <v>379</v>
      </c>
      <c r="D589" s="157">
        <v>150</v>
      </c>
      <c r="E589" s="155">
        <v>1</v>
      </c>
      <c r="F589" s="157">
        <f t="shared" si="9"/>
        <v>150</v>
      </c>
    </row>
    <row r="590" spans="1:6">
      <c r="A590" s="155" t="s">
        <v>159</v>
      </c>
      <c r="B590" s="156">
        <v>43768</v>
      </c>
      <c r="C590" s="155" t="s">
        <v>73</v>
      </c>
      <c r="D590" s="157">
        <v>6000</v>
      </c>
      <c r="E590" s="155">
        <v>2</v>
      </c>
      <c r="F590" s="157">
        <f t="shared" si="9"/>
        <v>12000</v>
      </c>
    </row>
    <row r="591" spans="1:6">
      <c r="A591" s="155" t="s">
        <v>380</v>
      </c>
      <c r="B591" s="156">
        <v>43769</v>
      </c>
      <c r="C591" s="155" t="s">
        <v>381</v>
      </c>
      <c r="D591" s="157">
        <v>600</v>
      </c>
      <c r="E591" s="155">
        <v>3</v>
      </c>
      <c r="F591" s="157">
        <f t="shared" si="9"/>
        <v>1800</v>
      </c>
    </row>
    <row r="592" spans="1:6">
      <c r="A592" s="155" t="s">
        <v>378</v>
      </c>
      <c r="B592" s="156">
        <v>43769</v>
      </c>
      <c r="C592" s="155" t="s">
        <v>385</v>
      </c>
      <c r="D592" s="157">
        <v>1800</v>
      </c>
      <c r="E592" s="155">
        <v>3</v>
      </c>
      <c r="F592" s="157">
        <f t="shared" si="9"/>
        <v>5400</v>
      </c>
    </row>
    <row r="593" spans="1:6">
      <c r="A593" s="155" t="s">
        <v>386</v>
      </c>
      <c r="B593" s="156">
        <v>43770</v>
      </c>
      <c r="C593" s="155" t="s">
        <v>372</v>
      </c>
      <c r="D593" s="157">
        <v>450</v>
      </c>
      <c r="E593" s="155">
        <v>3</v>
      </c>
      <c r="F593" s="157">
        <f t="shared" si="9"/>
        <v>1350</v>
      </c>
    </row>
    <row r="594" spans="1:6">
      <c r="A594" s="155" t="s">
        <v>384</v>
      </c>
      <c r="B594" s="156">
        <v>43770</v>
      </c>
      <c r="C594" s="155" t="s">
        <v>382</v>
      </c>
      <c r="D594" s="157">
        <v>200</v>
      </c>
      <c r="E594" s="155">
        <v>3</v>
      </c>
      <c r="F594" s="157">
        <f t="shared" si="9"/>
        <v>600</v>
      </c>
    </row>
    <row r="595" spans="1:6">
      <c r="A595" s="155" t="s">
        <v>378</v>
      </c>
      <c r="B595" s="156">
        <v>43771</v>
      </c>
      <c r="C595" s="155" t="s">
        <v>390</v>
      </c>
      <c r="D595" s="157">
        <v>300</v>
      </c>
      <c r="E595" s="155">
        <v>1</v>
      </c>
      <c r="F595" s="157">
        <f t="shared" si="9"/>
        <v>300</v>
      </c>
    </row>
    <row r="596" spans="1:6">
      <c r="A596" s="155" t="s">
        <v>378</v>
      </c>
      <c r="B596" s="156">
        <v>43771</v>
      </c>
      <c r="C596" s="155" t="s">
        <v>385</v>
      </c>
      <c r="D596" s="157">
        <v>1800</v>
      </c>
      <c r="E596" s="155">
        <v>1</v>
      </c>
      <c r="F596" s="157">
        <f t="shared" si="9"/>
        <v>1800</v>
      </c>
    </row>
    <row r="597" spans="1:6">
      <c r="A597" s="155" t="s">
        <v>378</v>
      </c>
      <c r="B597" s="156">
        <v>43772</v>
      </c>
      <c r="C597" s="155" t="s">
        <v>73</v>
      </c>
      <c r="D597" s="157">
        <v>6000</v>
      </c>
      <c r="E597" s="155">
        <v>2</v>
      </c>
      <c r="F597" s="157">
        <f t="shared" si="9"/>
        <v>12000</v>
      </c>
    </row>
    <row r="598" spans="1:6">
      <c r="A598" s="155" t="s">
        <v>380</v>
      </c>
      <c r="B598" s="156">
        <v>43772</v>
      </c>
      <c r="C598" s="155" t="s">
        <v>390</v>
      </c>
      <c r="D598" s="157">
        <v>300</v>
      </c>
      <c r="E598" s="155">
        <v>2</v>
      </c>
      <c r="F598" s="157">
        <f t="shared" si="9"/>
        <v>600</v>
      </c>
    </row>
    <row r="599" spans="1:6">
      <c r="A599" s="155" t="s">
        <v>159</v>
      </c>
      <c r="B599" s="156">
        <v>43773</v>
      </c>
      <c r="C599" s="155" t="s">
        <v>379</v>
      </c>
      <c r="D599" s="157">
        <v>150</v>
      </c>
      <c r="E599" s="155">
        <v>2</v>
      </c>
      <c r="F599" s="157">
        <f t="shared" si="9"/>
        <v>300</v>
      </c>
    </row>
    <row r="600" spans="1:6">
      <c r="A600" s="155" t="s">
        <v>386</v>
      </c>
      <c r="B600" s="156">
        <v>43773</v>
      </c>
      <c r="C600" s="155" t="s">
        <v>382</v>
      </c>
      <c r="D600" s="157">
        <v>200</v>
      </c>
      <c r="E600" s="155">
        <v>2</v>
      </c>
      <c r="F600" s="157">
        <f t="shared" si="9"/>
        <v>400</v>
      </c>
    </row>
    <row r="601" spans="1:6">
      <c r="A601" s="155" t="s">
        <v>378</v>
      </c>
      <c r="B601" s="156">
        <v>43773</v>
      </c>
      <c r="C601" s="155" t="s">
        <v>372</v>
      </c>
      <c r="D601" s="157">
        <v>450</v>
      </c>
      <c r="E601" s="155">
        <v>2</v>
      </c>
      <c r="F601" s="157">
        <f t="shared" si="9"/>
        <v>900</v>
      </c>
    </row>
    <row r="602" spans="1:6">
      <c r="A602" s="155" t="s">
        <v>383</v>
      </c>
      <c r="B602" s="156">
        <v>43773</v>
      </c>
      <c r="C602" s="155" t="s">
        <v>379</v>
      </c>
      <c r="D602" s="157">
        <v>150</v>
      </c>
      <c r="E602" s="155">
        <v>3</v>
      </c>
      <c r="F602" s="157">
        <f t="shared" si="9"/>
        <v>450</v>
      </c>
    </row>
    <row r="603" spans="1:6">
      <c r="A603" s="155" t="s">
        <v>386</v>
      </c>
      <c r="B603" s="156">
        <v>43773</v>
      </c>
      <c r="C603" s="155" t="s">
        <v>372</v>
      </c>
      <c r="D603" s="157">
        <v>450</v>
      </c>
      <c r="E603" s="155">
        <v>2</v>
      </c>
      <c r="F603" s="157">
        <f t="shared" si="9"/>
        <v>900</v>
      </c>
    </row>
    <row r="604" spans="1:6">
      <c r="A604" s="155" t="s">
        <v>159</v>
      </c>
      <c r="B604" s="156">
        <v>43773</v>
      </c>
      <c r="C604" s="155" t="s">
        <v>73</v>
      </c>
      <c r="D604" s="157">
        <v>6000</v>
      </c>
      <c r="E604" s="155">
        <v>4</v>
      </c>
      <c r="F604" s="157">
        <f t="shared" si="9"/>
        <v>24000</v>
      </c>
    </row>
    <row r="605" spans="1:6">
      <c r="A605" s="155" t="s">
        <v>386</v>
      </c>
      <c r="B605" s="156">
        <v>43774</v>
      </c>
      <c r="C605" s="155" t="s">
        <v>390</v>
      </c>
      <c r="D605" s="157">
        <v>300</v>
      </c>
      <c r="E605" s="155">
        <v>1</v>
      </c>
      <c r="F605" s="157">
        <f t="shared" si="9"/>
        <v>300</v>
      </c>
    </row>
    <row r="606" spans="1:6">
      <c r="A606" s="155" t="s">
        <v>159</v>
      </c>
      <c r="B606" s="156">
        <v>43775</v>
      </c>
      <c r="C606" s="155" t="s">
        <v>385</v>
      </c>
      <c r="D606" s="157">
        <v>1800</v>
      </c>
      <c r="E606" s="155">
        <v>1</v>
      </c>
      <c r="F606" s="157">
        <f t="shared" si="9"/>
        <v>1800</v>
      </c>
    </row>
    <row r="607" spans="1:6">
      <c r="A607" s="155" t="s">
        <v>383</v>
      </c>
      <c r="B607" s="156">
        <v>43775</v>
      </c>
      <c r="C607" s="155" t="s">
        <v>390</v>
      </c>
      <c r="D607" s="157">
        <v>300</v>
      </c>
      <c r="E607" s="155">
        <v>2</v>
      </c>
      <c r="F607" s="157">
        <f t="shared" si="9"/>
        <v>600</v>
      </c>
    </row>
    <row r="608" spans="1:6">
      <c r="A608" s="155" t="s">
        <v>159</v>
      </c>
      <c r="B608" s="156">
        <v>43775</v>
      </c>
      <c r="C608" s="155" t="s">
        <v>372</v>
      </c>
      <c r="D608" s="157">
        <v>450</v>
      </c>
      <c r="E608" s="155">
        <v>2</v>
      </c>
      <c r="F608" s="157">
        <f t="shared" si="9"/>
        <v>900</v>
      </c>
    </row>
    <row r="609" spans="1:6">
      <c r="A609" s="155" t="s">
        <v>380</v>
      </c>
      <c r="B609" s="156">
        <v>43775</v>
      </c>
      <c r="C609" s="155" t="s">
        <v>372</v>
      </c>
      <c r="D609" s="157">
        <v>450</v>
      </c>
      <c r="E609" s="155">
        <v>2</v>
      </c>
      <c r="F609" s="157">
        <f t="shared" si="9"/>
        <v>900</v>
      </c>
    </row>
    <row r="610" spans="1:6">
      <c r="A610" s="155" t="s">
        <v>378</v>
      </c>
      <c r="B610" s="156">
        <v>43776</v>
      </c>
      <c r="C610" s="155" t="s">
        <v>385</v>
      </c>
      <c r="D610" s="157">
        <v>1800</v>
      </c>
      <c r="E610" s="155">
        <v>4</v>
      </c>
      <c r="F610" s="157">
        <f t="shared" si="9"/>
        <v>7200</v>
      </c>
    </row>
    <row r="611" spans="1:6">
      <c r="A611" s="155" t="s">
        <v>383</v>
      </c>
      <c r="B611" s="156">
        <v>43776</v>
      </c>
      <c r="C611" s="155" t="s">
        <v>73</v>
      </c>
      <c r="D611" s="157">
        <v>6000</v>
      </c>
      <c r="E611" s="155">
        <v>1</v>
      </c>
      <c r="F611" s="157">
        <f t="shared" si="9"/>
        <v>6000</v>
      </c>
    </row>
    <row r="612" spans="1:6">
      <c r="A612" s="155" t="s">
        <v>386</v>
      </c>
      <c r="B612" s="156">
        <v>43776</v>
      </c>
      <c r="C612" s="155" t="s">
        <v>73</v>
      </c>
      <c r="D612" s="157">
        <v>6000</v>
      </c>
      <c r="E612" s="155">
        <v>3</v>
      </c>
      <c r="F612" s="157">
        <f t="shared" si="9"/>
        <v>18000</v>
      </c>
    </row>
    <row r="613" spans="1:6">
      <c r="A613" s="155" t="s">
        <v>378</v>
      </c>
      <c r="B613" s="156">
        <v>43778</v>
      </c>
      <c r="C613" s="155" t="s">
        <v>381</v>
      </c>
      <c r="D613" s="157">
        <v>600</v>
      </c>
      <c r="E613" s="155">
        <v>2</v>
      </c>
      <c r="F613" s="157">
        <f t="shared" si="9"/>
        <v>1200</v>
      </c>
    </row>
    <row r="614" spans="1:6">
      <c r="A614" s="155" t="s">
        <v>384</v>
      </c>
      <c r="B614" s="156">
        <v>43778</v>
      </c>
      <c r="C614" s="155" t="s">
        <v>372</v>
      </c>
      <c r="D614" s="157">
        <v>450</v>
      </c>
      <c r="E614" s="155">
        <v>4</v>
      </c>
      <c r="F614" s="157">
        <f t="shared" si="9"/>
        <v>1800</v>
      </c>
    </row>
    <row r="615" spans="1:6">
      <c r="A615" s="155" t="s">
        <v>384</v>
      </c>
      <c r="B615" s="156">
        <v>43778</v>
      </c>
      <c r="C615" s="155" t="s">
        <v>382</v>
      </c>
      <c r="D615" s="157">
        <v>200</v>
      </c>
      <c r="E615" s="155">
        <v>3</v>
      </c>
      <c r="F615" s="157">
        <f t="shared" si="9"/>
        <v>600</v>
      </c>
    </row>
    <row r="616" spans="1:6">
      <c r="A616" s="155" t="s">
        <v>384</v>
      </c>
      <c r="B616" s="156">
        <v>43778</v>
      </c>
      <c r="C616" s="155" t="s">
        <v>372</v>
      </c>
      <c r="D616" s="157">
        <v>450</v>
      </c>
      <c r="E616" s="155">
        <v>3</v>
      </c>
      <c r="F616" s="157">
        <f t="shared" si="9"/>
        <v>1350</v>
      </c>
    </row>
    <row r="617" spans="1:6">
      <c r="A617" s="155" t="s">
        <v>378</v>
      </c>
      <c r="B617" s="156">
        <v>43778</v>
      </c>
      <c r="C617" s="155" t="s">
        <v>381</v>
      </c>
      <c r="D617" s="157">
        <v>600</v>
      </c>
      <c r="E617" s="155">
        <v>1</v>
      </c>
      <c r="F617" s="157">
        <f t="shared" si="9"/>
        <v>600</v>
      </c>
    </row>
    <row r="618" spans="1:6">
      <c r="A618" s="155" t="s">
        <v>383</v>
      </c>
      <c r="B618" s="156">
        <v>43780</v>
      </c>
      <c r="C618" s="155" t="s">
        <v>381</v>
      </c>
      <c r="D618" s="157">
        <v>600</v>
      </c>
      <c r="E618" s="155">
        <v>4</v>
      </c>
      <c r="F618" s="157">
        <f t="shared" si="9"/>
        <v>2400</v>
      </c>
    </row>
    <row r="619" spans="1:6">
      <c r="A619" s="155" t="s">
        <v>384</v>
      </c>
      <c r="B619" s="156">
        <v>43782</v>
      </c>
      <c r="C619" s="155" t="s">
        <v>390</v>
      </c>
      <c r="D619" s="157">
        <v>300</v>
      </c>
      <c r="E619" s="155">
        <v>2</v>
      </c>
      <c r="F619" s="157">
        <f t="shared" si="9"/>
        <v>600</v>
      </c>
    </row>
    <row r="620" spans="1:6">
      <c r="A620" s="155" t="s">
        <v>383</v>
      </c>
      <c r="B620" s="156">
        <v>43782</v>
      </c>
      <c r="C620" s="155" t="s">
        <v>73</v>
      </c>
      <c r="D620" s="157">
        <v>6000</v>
      </c>
      <c r="E620" s="155">
        <v>3</v>
      </c>
      <c r="F620" s="157">
        <f t="shared" si="9"/>
        <v>18000</v>
      </c>
    </row>
    <row r="621" spans="1:6">
      <c r="A621" s="155" t="s">
        <v>380</v>
      </c>
      <c r="B621" s="156">
        <v>43782</v>
      </c>
      <c r="C621" s="155" t="s">
        <v>73</v>
      </c>
      <c r="D621" s="157">
        <v>6000</v>
      </c>
      <c r="E621" s="155">
        <v>2</v>
      </c>
      <c r="F621" s="157">
        <f t="shared" si="9"/>
        <v>12000</v>
      </c>
    </row>
    <row r="622" spans="1:6">
      <c r="A622" s="155" t="s">
        <v>380</v>
      </c>
      <c r="B622" s="156">
        <v>43783</v>
      </c>
      <c r="C622" s="155" t="s">
        <v>381</v>
      </c>
      <c r="D622" s="157">
        <v>600</v>
      </c>
      <c r="E622" s="155">
        <v>3</v>
      </c>
      <c r="F622" s="157">
        <f t="shared" si="9"/>
        <v>1800</v>
      </c>
    </row>
    <row r="623" spans="1:6">
      <c r="A623" s="155" t="s">
        <v>380</v>
      </c>
      <c r="B623" s="156">
        <v>43784</v>
      </c>
      <c r="C623" s="155" t="s">
        <v>372</v>
      </c>
      <c r="D623" s="157">
        <v>450</v>
      </c>
      <c r="E623" s="155">
        <v>4</v>
      </c>
      <c r="F623" s="157">
        <f t="shared" si="9"/>
        <v>1800</v>
      </c>
    </row>
    <row r="624" spans="1:6">
      <c r="A624" s="155" t="s">
        <v>378</v>
      </c>
      <c r="B624" s="156">
        <v>43785</v>
      </c>
      <c r="C624" s="155" t="s">
        <v>390</v>
      </c>
      <c r="D624" s="157">
        <v>300</v>
      </c>
      <c r="E624" s="155">
        <v>2</v>
      </c>
      <c r="F624" s="157">
        <f t="shared" si="9"/>
        <v>600</v>
      </c>
    </row>
    <row r="625" spans="1:6">
      <c r="A625" s="155" t="s">
        <v>378</v>
      </c>
      <c r="B625" s="156">
        <v>43786</v>
      </c>
      <c r="C625" s="155" t="s">
        <v>381</v>
      </c>
      <c r="D625" s="157">
        <v>600</v>
      </c>
      <c r="E625" s="155">
        <v>1</v>
      </c>
      <c r="F625" s="157">
        <f t="shared" si="9"/>
        <v>600</v>
      </c>
    </row>
    <row r="626" spans="1:6">
      <c r="A626" s="155" t="s">
        <v>159</v>
      </c>
      <c r="B626" s="156">
        <v>43786</v>
      </c>
      <c r="C626" s="155" t="s">
        <v>73</v>
      </c>
      <c r="D626" s="157">
        <v>6000</v>
      </c>
      <c r="E626" s="155">
        <v>4</v>
      </c>
      <c r="F626" s="157">
        <f t="shared" si="9"/>
        <v>24000</v>
      </c>
    </row>
    <row r="627" spans="1:6">
      <c r="A627" s="155" t="s">
        <v>386</v>
      </c>
      <c r="B627" s="156">
        <v>43787</v>
      </c>
      <c r="C627" s="155" t="s">
        <v>379</v>
      </c>
      <c r="D627" s="157">
        <v>150</v>
      </c>
      <c r="E627" s="155">
        <v>4</v>
      </c>
      <c r="F627" s="157">
        <f t="shared" si="9"/>
        <v>600</v>
      </c>
    </row>
    <row r="628" spans="1:6">
      <c r="A628" s="155" t="s">
        <v>159</v>
      </c>
      <c r="B628" s="156">
        <v>43788</v>
      </c>
      <c r="C628" s="155" t="s">
        <v>372</v>
      </c>
      <c r="D628" s="157">
        <v>450</v>
      </c>
      <c r="E628" s="155">
        <v>1</v>
      </c>
      <c r="F628" s="157">
        <f t="shared" si="9"/>
        <v>450</v>
      </c>
    </row>
    <row r="629" spans="1:6">
      <c r="A629" s="155" t="s">
        <v>384</v>
      </c>
      <c r="B629" s="156">
        <v>43788</v>
      </c>
      <c r="C629" s="155" t="s">
        <v>382</v>
      </c>
      <c r="D629" s="157">
        <v>200</v>
      </c>
      <c r="E629" s="155">
        <v>4</v>
      </c>
      <c r="F629" s="157">
        <f t="shared" si="9"/>
        <v>800</v>
      </c>
    </row>
    <row r="630" spans="1:6">
      <c r="A630" s="155" t="s">
        <v>384</v>
      </c>
      <c r="B630" s="156">
        <v>43789</v>
      </c>
      <c r="C630" s="155" t="s">
        <v>381</v>
      </c>
      <c r="D630" s="157">
        <v>600</v>
      </c>
      <c r="E630" s="155">
        <v>4</v>
      </c>
      <c r="F630" s="157">
        <f t="shared" si="9"/>
        <v>2400</v>
      </c>
    </row>
    <row r="631" spans="1:6">
      <c r="A631" s="155" t="s">
        <v>378</v>
      </c>
      <c r="B631" s="156">
        <v>43789</v>
      </c>
      <c r="C631" s="155" t="s">
        <v>390</v>
      </c>
      <c r="D631" s="157">
        <v>300</v>
      </c>
      <c r="E631" s="155">
        <v>4</v>
      </c>
      <c r="F631" s="157">
        <f t="shared" si="9"/>
        <v>1200</v>
      </c>
    </row>
    <row r="632" spans="1:6">
      <c r="A632" s="155" t="s">
        <v>380</v>
      </c>
      <c r="B632" s="156">
        <v>43789</v>
      </c>
      <c r="C632" s="155" t="s">
        <v>390</v>
      </c>
      <c r="D632" s="157">
        <v>300</v>
      </c>
      <c r="E632" s="155">
        <v>4</v>
      </c>
      <c r="F632" s="157">
        <f t="shared" si="9"/>
        <v>1200</v>
      </c>
    </row>
    <row r="633" spans="1:6">
      <c r="A633" s="155" t="s">
        <v>380</v>
      </c>
      <c r="B633" s="156">
        <v>43790</v>
      </c>
      <c r="C633" s="155" t="s">
        <v>379</v>
      </c>
      <c r="D633" s="157">
        <v>150</v>
      </c>
      <c r="E633" s="155">
        <v>1</v>
      </c>
      <c r="F633" s="157">
        <f t="shared" si="9"/>
        <v>150</v>
      </c>
    </row>
    <row r="634" spans="1:6">
      <c r="A634" s="155" t="s">
        <v>386</v>
      </c>
      <c r="B634" s="156">
        <v>43790</v>
      </c>
      <c r="C634" s="155" t="s">
        <v>385</v>
      </c>
      <c r="D634" s="157">
        <v>1800</v>
      </c>
      <c r="E634" s="155">
        <v>1</v>
      </c>
      <c r="F634" s="157">
        <f t="shared" si="9"/>
        <v>1800</v>
      </c>
    </row>
    <row r="635" spans="1:6">
      <c r="A635" s="155" t="s">
        <v>378</v>
      </c>
      <c r="B635" s="156">
        <v>43791</v>
      </c>
      <c r="C635" s="155" t="s">
        <v>381</v>
      </c>
      <c r="D635" s="157">
        <v>600</v>
      </c>
      <c r="E635" s="155">
        <v>2</v>
      </c>
      <c r="F635" s="157">
        <f t="shared" si="9"/>
        <v>1200</v>
      </c>
    </row>
    <row r="636" spans="1:6">
      <c r="A636" s="155" t="s">
        <v>384</v>
      </c>
      <c r="B636" s="156">
        <v>43791</v>
      </c>
      <c r="C636" s="155" t="s">
        <v>382</v>
      </c>
      <c r="D636" s="157">
        <v>200</v>
      </c>
      <c r="E636" s="155">
        <v>4</v>
      </c>
      <c r="F636" s="157">
        <f t="shared" si="9"/>
        <v>800</v>
      </c>
    </row>
    <row r="637" spans="1:6">
      <c r="A637" s="155" t="s">
        <v>383</v>
      </c>
      <c r="B637" s="156">
        <v>43793</v>
      </c>
      <c r="C637" s="155" t="s">
        <v>73</v>
      </c>
      <c r="D637" s="157">
        <v>6000</v>
      </c>
      <c r="E637" s="155">
        <v>3</v>
      </c>
      <c r="F637" s="157">
        <f t="shared" si="9"/>
        <v>18000</v>
      </c>
    </row>
    <row r="638" spans="1:6">
      <c r="A638" s="155" t="s">
        <v>380</v>
      </c>
      <c r="B638" s="156">
        <v>43794</v>
      </c>
      <c r="C638" s="155" t="s">
        <v>382</v>
      </c>
      <c r="D638" s="157">
        <v>200</v>
      </c>
      <c r="E638" s="155">
        <v>3</v>
      </c>
      <c r="F638" s="157">
        <f t="shared" si="9"/>
        <v>600</v>
      </c>
    </row>
    <row r="639" spans="1:6">
      <c r="A639" s="155" t="s">
        <v>378</v>
      </c>
      <c r="B639" s="156">
        <v>43795</v>
      </c>
      <c r="C639" s="155" t="s">
        <v>73</v>
      </c>
      <c r="D639" s="157">
        <v>6000</v>
      </c>
      <c r="E639" s="155">
        <v>2</v>
      </c>
      <c r="F639" s="157">
        <f t="shared" si="9"/>
        <v>12000</v>
      </c>
    </row>
    <row r="640" spans="1:6">
      <c r="A640" s="155" t="s">
        <v>383</v>
      </c>
      <c r="B640" s="156">
        <v>43795</v>
      </c>
      <c r="C640" s="155" t="s">
        <v>381</v>
      </c>
      <c r="D640" s="157">
        <v>600</v>
      </c>
      <c r="E640" s="155">
        <v>1</v>
      </c>
      <c r="F640" s="157">
        <f t="shared" si="9"/>
        <v>600</v>
      </c>
    </row>
    <row r="641" spans="1:6">
      <c r="A641" s="155" t="s">
        <v>386</v>
      </c>
      <c r="B641" s="156">
        <v>43796</v>
      </c>
      <c r="C641" s="155" t="s">
        <v>381</v>
      </c>
      <c r="D641" s="157">
        <v>600</v>
      </c>
      <c r="E641" s="155">
        <v>4</v>
      </c>
      <c r="F641" s="157">
        <f t="shared" si="9"/>
        <v>2400</v>
      </c>
    </row>
    <row r="642" spans="1:6">
      <c r="A642" s="155" t="s">
        <v>383</v>
      </c>
      <c r="B642" s="156">
        <v>43796</v>
      </c>
      <c r="C642" s="155" t="s">
        <v>379</v>
      </c>
      <c r="D642" s="157">
        <v>150</v>
      </c>
      <c r="E642" s="155">
        <v>3</v>
      </c>
      <c r="F642" s="157">
        <f t="shared" si="9"/>
        <v>450</v>
      </c>
    </row>
    <row r="643" spans="1:6">
      <c r="A643" s="155" t="s">
        <v>386</v>
      </c>
      <c r="B643" s="156">
        <v>43796</v>
      </c>
      <c r="C643" s="155" t="s">
        <v>390</v>
      </c>
      <c r="D643" s="157">
        <v>300</v>
      </c>
      <c r="E643" s="155">
        <v>2</v>
      </c>
      <c r="F643" s="157">
        <f t="shared" si="9"/>
        <v>600</v>
      </c>
    </row>
    <row r="644" spans="1:6">
      <c r="A644" s="155" t="s">
        <v>378</v>
      </c>
      <c r="B644" s="156">
        <v>43796</v>
      </c>
      <c r="C644" s="155" t="s">
        <v>73</v>
      </c>
      <c r="D644" s="157">
        <v>6000</v>
      </c>
      <c r="E644" s="155">
        <v>2</v>
      </c>
      <c r="F644" s="157">
        <f t="shared" si="9"/>
        <v>12000</v>
      </c>
    </row>
    <row r="645" spans="1:6">
      <c r="A645" s="155" t="s">
        <v>159</v>
      </c>
      <c r="B645" s="156">
        <v>43797</v>
      </c>
      <c r="C645" s="155" t="s">
        <v>379</v>
      </c>
      <c r="D645" s="157">
        <v>150</v>
      </c>
      <c r="E645" s="155">
        <v>4</v>
      </c>
      <c r="F645" s="157">
        <f t="shared" si="9"/>
        <v>600</v>
      </c>
    </row>
    <row r="646" spans="1:6">
      <c r="A646" s="155" t="s">
        <v>159</v>
      </c>
      <c r="B646" s="156">
        <v>43798</v>
      </c>
      <c r="C646" s="155" t="s">
        <v>372</v>
      </c>
      <c r="D646" s="157">
        <v>450</v>
      </c>
      <c r="E646" s="155">
        <v>2</v>
      </c>
      <c r="F646" s="157">
        <f t="shared" si="9"/>
        <v>900</v>
      </c>
    </row>
    <row r="647" spans="1:6">
      <c r="A647" s="155" t="s">
        <v>159</v>
      </c>
      <c r="B647" s="156">
        <v>43798</v>
      </c>
      <c r="C647" s="155" t="s">
        <v>390</v>
      </c>
      <c r="D647" s="157">
        <v>300</v>
      </c>
      <c r="E647" s="155">
        <v>1</v>
      </c>
      <c r="F647" s="157">
        <f t="shared" si="9"/>
        <v>300</v>
      </c>
    </row>
    <row r="648" spans="1:6">
      <c r="A648" s="155" t="s">
        <v>386</v>
      </c>
      <c r="B648" s="156">
        <v>43798</v>
      </c>
      <c r="C648" s="155" t="s">
        <v>382</v>
      </c>
      <c r="D648" s="157">
        <v>200</v>
      </c>
      <c r="E648" s="155">
        <v>3</v>
      </c>
      <c r="F648" s="157">
        <f t="shared" si="9"/>
        <v>600</v>
      </c>
    </row>
    <row r="649" spans="1:6">
      <c r="A649" s="155" t="s">
        <v>383</v>
      </c>
      <c r="B649" s="156">
        <v>43799</v>
      </c>
      <c r="C649" s="155" t="s">
        <v>390</v>
      </c>
      <c r="D649" s="157">
        <v>300</v>
      </c>
      <c r="E649" s="155">
        <v>4</v>
      </c>
      <c r="F649" s="157">
        <f t="shared" ref="F649:F705" si="10">E649*D649</f>
        <v>1200</v>
      </c>
    </row>
    <row r="650" spans="1:6">
      <c r="A650" s="155" t="s">
        <v>384</v>
      </c>
      <c r="B650" s="156">
        <v>43799</v>
      </c>
      <c r="C650" s="155" t="s">
        <v>379</v>
      </c>
      <c r="D650" s="157">
        <v>150</v>
      </c>
      <c r="E650" s="155">
        <v>2</v>
      </c>
      <c r="F650" s="157">
        <f t="shared" si="10"/>
        <v>300</v>
      </c>
    </row>
    <row r="651" spans="1:6">
      <c r="A651" s="155" t="s">
        <v>384</v>
      </c>
      <c r="B651" s="156">
        <v>43799</v>
      </c>
      <c r="C651" s="155" t="s">
        <v>372</v>
      </c>
      <c r="D651" s="157">
        <v>450</v>
      </c>
      <c r="E651" s="155">
        <v>3</v>
      </c>
      <c r="F651" s="157">
        <f t="shared" si="10"/>
        <v>1350</v>
      </c>
    </row>
    <row r="652" spans="1:6">
      <c r="A652" s="155" t="s">
        <v>378</v>
      </c>
      <c r="B652" s="156">
        <v>43800</v>
      </c>
      <c r="C652" s="155" t="s">
        <v>385</v>
      </c>
      <c r="D652" s="157">
        <v>1800</v>
      </c>
      <c r="E652" s="155">
        <v>4</v>
      </c>
      <c r="F652" s="157">
        <f t="shared" si="10"/>
        <v>7200</v>
      </c>
    </row>
    <row r="653" spans="1:6">
      <c r="A653" s="155" t="s">
        <v>378</v>
      </c>
      <c r="B653" s="156">
        <v>43800</v>
      </c>
      <c r="C653" s="155" t="s">
        <v>372</v>
      </c>
      <c r="D653" s="157">
        <v>450</v>
      </c>
      <c r="E653" s="155">
        <v>4</v>
      </c>
      <c r="F653" s="157">
        <f t="shared" si="10"/>
        <v>1800</v>
      </c>
    </row>
    <row r="654" spans="1:6">
      <c r="A654" s="155" t="s">
        <v>159</v>
      </c>
      <c r="B654" s="156">
        <v>43801</v>
      </c>
      <c r="C654" s="155" t="s">
        <v>381</v>
      </c>
      <c r="D654" s="157">
        <v>600</v>
      </c>
      <c r="E654" s="155">
        <v>3</v>
      </c>
      <c r="F654" s="157">
        <f t="shared" si="10"/>
        <v>1800</v>
      </c>
    </row>
    <row r="655" spans="1:6">
      <c r="A655" s="155" t="s">
        <v>383</v>
      </c>
      <c r="B655" s="156">
        <v>43802</v>
      </c>
      <c r="C655" s="155" t="s">
        <v>382</v>
      </c>
      <c r="D655" s="157">
        <v>200</v>
      </c>
      <c r="E655" s="155">
        <v>3</v>
      </c>
      <c r="F655" s="157">
        <f t="shared" si="10"/>
        <v>600</v>
      </c>
    </row>
    <row r="656" spans="1:6">
      <c r="A656" s="155" t="s">
        <v>159</v>
      </c>
      <c r="B656" s="156">
        <v>43802</v>
      </c>
      <c r="C656" s="155" t="s">
        <v>382</v>
      </c>
      <c r="D656" s="157">
        <v>200</v>
      </c>
      <c r="E656" s="155">
        <v>2</v>
      </c>
      <c r="F656" s="157">
        <f t="shared" si="10"/>
        <v>400</v>
      </c>
    </row>
    <row r="657" spans="1:6">
      <c r="A657" s="155" t="s">
        <v>384</v>
      </c>
      <c r="B657" s="156">
        <v>43803</v>
      </c>
      <c r="C657" s="155" t="s">
        <v>379</v>
      </c>
      <c r="D657" s="157">
        <v>150</v>
      </c>
      <c r="E657" s="155">
        <v>4</v>
      </c>
      <c r="F657" s="157">
        <f t="shared" si="10"/>
        <v>600</v>
      </c>
    </row>
    <row r="658" spans="1:6">
      <c r="A658" s="155" t="s">
        <v>386</v>
      </c>
      <c r="B658" s="156">
        <v>43804</v>
      </c>
      <c r="C658" s="155" t="s">
        <v>390</v>
      </c>
      <c r="D658" s="157">
        <v>300</v>
      </c>
      <c r="E658" s="155">
        <v>3</v>
      </c>
      <c r="F658" s="157">
        <f t="shared" si="10"/>
        <v>900</v>
      </c>
    </row>
    <row r="659" spans="1:6">
      <c r="A659" s="155" t="s">
        <v>378</v>
      </c>
      <c r="B659" s="156">
        <v>43805</v>
      </c>
      <c r="C659" s="155" t="s">
        <v>390</v>
      </c>
      <c r="D659" s="157">
        <v>300</v>
      </c>
      <c r="E659" s="155">
        <v>4</v>
      </c>
      <c r="F659" s="157">
        <f t="shared" si="10"/>
        <v>1200</v>
      </c>
    </row>
    <row r="660" spans="1:6">
      <c r="A660" s="155" t="s">
        <v>383</v>
      </c>
      <c r="B660" s="156">
        <v>43805</v>
      </c>
      <c r="C660" s="155" t="s">
        <v>381</v>
      </c>
      <c r="D660" s="157">
        <v>600</v>
      </c>
      <c r="E660" s="155">
        <v>3</v>
      </c>
      <c r="F660" s="157">
        <f t="shared" si="10"/>
        <v>1800</v>
      </c>
    </row>
    <row r="661" spans="1:6">
      <c r="A661" s="155" t="s">
        <v>378</v>
      </c>
      <c r="B661" s="156">
        <v>43806</v>
      </c>
      <c r="C661" s="155" t="s">
        <v>372</v>
      </c>
      <c r="D661" s="157">
        <v>450</v>
      </c>
      <c r="E661" s="155">
        <v>3</v>
      </c>
      <c r="F661" s="157">
        <f t="shared" si="10"/>
        <v>1350</v>
      </c>
    </row>
    <row r="662" spans="1:6">
      <c r="A662" s="155" t="s">
        <v>383</v>
      </c>
      <c r="B662" s="156">
        <v>43806</v>
      </c>
      <c r="C662" s="155" t="s">
        <v>73</v>
      </c>
      <c r="D662" s="157">
        <v>6000</v>
      </c>
      <c r="E662" s="155">
        <v>2</v>
      </c>
      <c r="F662" s="157">
        <f t="shared" si="10"/>
        <v>12000</v>
      </c>
    </row>
    <row r="663" spans="1:6">
      <c r="A663" s="155" t="s">
        <v>384</v>
      </c>
      <c r="B663" s="156">
        <v>43807</v>
      </c>
      <c r="C663" s="155" t="s">
        <v>372</v>
      </c>
      <c r="D663" s="157">
        <v>450</v>
      </c>
      <c r="E663" s="155">
        <v>3</v>
      </c>
      <c r="F663" s="157">
        <f t="shared" si="10"/>
        <v>1350</v>
      </c>
    </row>
    <row r="664" spans="1:6">
      <c r="A664" s="155" t="s">
        <v>384</v>
      </c>
      <c r="B664" s="156">
        <v>43808</v>
      </c>
      <c r="C664" s="155" t="s">
        <v>379</v>
      </c>
      <c r="D664" s="157">
        <v>150</v>
      </c>
      <c r="E664" s="155">
        <v>1</v>
      </c>
      <c r="F664" s="157">
        <f t="shared" si="10"/>
        <v>150</v>
      </c>
    </row>
    <row r="665" spans="1:6">
      <c r="A665" s="155" t="s">
        <v>378</v>
      </c>
      <c r="B665" s="156">
        <v>43808</v>
      </c>
      <c r="C665" s="155" t="s">
        <v>382</v>
      </c>
      <c r="D665" s="157">
        <v>200</v>
      </c>
      <c r="E665" s="155">
        <v>2</v>
      </c>
      <c r="F665" s="157">
        <f t="shared" si="10"/>
        <v>400</v>
      </c>
    </row>
    <row r="666" spans="1:6">
      <c r="A666" s="155" t="s">
        <v>384</v>
      </c>
      <c r="B666" s="156">
        <v>43808</v>
      </c>
      <c r="C666" s="155" t="s">
        <v>379</v>
      </c>
      <c r="D666" s="157">
        <v>150</v>
      </c>
      <c r="E666" s="155">
        <v>4</v>
      </c>
      <c r="F666" s="157">
        <f t="shared" si="10"/>
        <v>600</v>
      </c>
    </row>
    <row r="667" spans="1:6">
      <c r="A667" s="155" t="s">
        <v>159</v>
      </c>
      <c r="B667" s="156">
        <v>43808</v>
      </c>
      <c r="C667" s="155" t="s">
        <v>382</v>
      </c>
      <c r="D667" s="157">
        <v>200</v>
      </c>
      <c r="E667" s="155">
        <v>4</v>
      </c>
      <c r="F667" s="157">
        <f t="shared" si="10"/>
        <v>800</v>
      </c>
    </row>
    <row r="668" spans="1:6">
      <c r="A668" s="155" t="s">
        <v>386</v>
      </c>
      <c r="B668" s="156">
        <v>43808</v>
      </c>
      <c r="C668" s="155" t="s">
        <v>385</v>
      </c>
      <c r="D668" s="157">
        <v>1800</v>
      </c>
      <c r="E668" s="155">
        <v>2</v>
      </c>
      <c r="F668" s="157">
        <f t="shared" si="10"/>
        <v>3600</v>
      </c>
    </row>
    <row r="669" spans="1:6">
      <c r="A669" s="155" t="s">
        <v>383</v>
      </c>
      <c r="B669" s="156">
        <v>43809</v>
      </c>
      <c r="C669" s="155" t="s">
        <v>390</v>
      </c>
      <c r="D669" s="157">
        <v>300</v>
      </c>
      <c r="E669" s="155">
        <v>2</v>
      </c>
      <c r="F669" s="157">
        <f t="shared" si="10"/>
        <v>600</v>
      </c>
    </row>
    <row r="670" spans="1:6">
      <c r="A670" s="155" t="s">
        <v>383</v>
      </c>
      <c r="B670" s="156">
        <v>43809</v>
      </c>
      <c r="C670" s="155" t="s">
        <v>372</v>
      </c>
      <c r="D670" s="157">
        <v>450</v>
      </c>
      <c r="E670" s="155">
        <v>4</v>
      </c>
      <c r="F670" s="157">
        <f t="shared" si="10"/>
        <v>1800</v>
      </c>
    </row>
    <row r="671" spans="1:6">
      <c r="A671" s="155" t="s">
        <v>159</v>
      </c>
      <c r="B671" s="156">
        <v>43810</v>
      </c>
      <c r="C671" s="155" t="s">
        <v>372</v>
      </c>
      <c r="D671" s="157">
        <v>450</v>
      </c>
      <c r="E671" s="155">
        <v>3</v>
      </c>
      <c r="F671" s="157">
        <f t="shared" si="10"/>
        <v>1350</v>
      </c>
    </row>
    <row r="672" spans="1:6">
      <c r="A672" s="155" t="s">
        <v>386</v>
      </c>
      <c r="B672" s="156">
        <v>43810</v>
      </c>
      <c r="C672" s="155" t="s">
        <v>379</v>
      </c>
      <c r="D672" s="157">
        <v>150</v>
      </c>
      <c r="E672" s="155">
        <v>1</v>
      </c>
      <c r="F672" s="157">
        <f t="shared" si="10"/>
        <v>150</v>
      </c>
    </row>
    <row r="673" spans="1:6">
      <c r="A673" s="155" t="s">
        <v>380</v>
      </c>
      <c r="B673" s="156">
        <v>43810</v>
      </c>
      <c r="C673" s="155" t="s">
        <v>381</v>
      </c>
      <c r="D673" s="157">
        <v>600</v>
      </c>
      <c r="E673" s="155">
        <v>2</v>
      </c>
      <c r="F673" s="157">
        <f t="shared" si="10"/>
        <v>1200</v>
      </c>
    </row>
    <row r="674" spans="1:6">
      <c r="A674" s="155" t="s">
        <v>383</v>
      </c>
      <c r="B674" s="156">
        <v>43811</v>
      </c>
      <c r="C674" s="155" t="s">
        <v>73</v>
      </c>
      <c r="D674" s="157">
        <v>6000</v>
      </c>
      <c r="E674" s="155">
        <v>4</v>
      </c>
      <c r="F674" s="157">
        <f t="shared" si="10"/>
        <v>24000</v>
      </c>
    </row>
    <row r="675" spans="1:6">
      <c r="A675" s="155" t="s">
        <v>383</v>
      </c>
      <c r="B675" s="156">
        <v>43811</v>
      </c>
      <c r="C675" s="155" t="s">
        <v>379</v>
      </c>
      <c r="D675" s="157">
        <v>150</v>
      </c>
      <c r="E675" s="155">
        <v>2</v>
      </c>
      <c r="F675" s="157">
        <f t="shared" si="10"/>
        <v>300</v>
      </c>
    </row>
    <row r="676" spans="1:6">
      <c r="A676" s="155" t="s">
        <v>378</v>
      </c>
      <c r="B676" s="156">
        <v>43812</v>
      </c>
      <c r="C676" s="155" t="s">
        <v>382</v>
      </c>
      <c r="D676" s="157">
        <v>200</v>
      </c>
      <c r="E676" s="155">
        <v>3</v>
      </c>
      <c r="F676" s="157">
        <f t="shared" si="10"/>
        <v>600</v>
      </c>
    </row>
    <row r="677" spans="1:6">
      <c r="A677" s="155" t="s">
        <v>380</v>
      </c>
      <c r="B677" s="156">
        <v>43812</v>
      </c>
      <c r="C677" s="155" t="s">
        <v>379</v>
      </c>
      <c r="D677" s="157">
        <v>150</v>
      </c>
      <c r="E677" s="155">
        <v>1</v>
      </c>
      <c r="F677" s="157">
        <f t="shared" si="10"/>
        <v>150</v>
      </c>
    </row>
    <row r="678" spans="1:6">
      <c r="A678" s="155" t="s">
        <v>384</v>
      </c>
      <c r="B678" s="156">
        <v>43813</v>
      </c>
      <c r="C678" s="155" t="s">
        <v>73</v>
      </c>
      <c r="D678" s="157">
        <v>6000</v>
      </c>
      <c r="E678" s="155">
        <v>3</v>
      </c>
      <c r="F678" s="157">
        <f t="shared" si="10"/>
        <v>18000</v>
      </c>
    </row>
    <row r="679" spans="1:6">
      <c r="A679" s="155" t="s">
        <v>386</v>
      </c>
      <c r="B679" s="156">
        <v>43814</v>
      </c>
      <c r="C679" s="155" t="s">
        <v>379</v>
      </c>
      <c r="D679" s="157">
        <v>150</v>
      </c>
      <c r="E679" s="155">
        <v>3</v>
      </c>
      <c r="F679" s="157">
        <f t="shared" si="10"/>
        <v>450</v>
      </c>
    </row>
    <row r="680" spans="1:6">
      <c r="A680" s="155" t="s">
        <v>386</v>
      </c>
      <c r="B680" s="156">
        <v>43814</v>
      </c>
      <c r="C680" s="155" t="s">
        <v>73</v>
      </c>
      <c r="D680" s="157">
        <v>6000</v>
      </c>
      <c r="E680" s="155">
        <v>4</v>
      </c>
      <c r="F680" s="157">
        <f t="shared" si="10"/>
        <v>24000</v>
      </c>
    </row>
    <row r="681" spans="1:6">
      <c r="A681" s="155" t="s">
        <v>159</v>
      </c>
      <c r="B681" s="156">
        <v>43816</v>
      </c>
      <c r="C681" s="155" t="s">
        <v>382</v>
      </c>
      <c r="D681" s="157">
        <v>200</v>
      </c>
      <c r="E681" s="155">
        <v>1</v>
      </c>
      <c r="F681" s="157">
        <f t="shared" si="10"/>
        <v>200</v>
      </c>
    </row>
    <row r="682" spans="1:6">
      <c r="A682" s="155" t="s">
        <v>378</v>
      </c>
      <c r="B682" s="156">
        <v>43816</v>
      </c>
      <c r="C682" s="155" t="s">
        <v>381</v>
      </c>
      <c r="D682" s="157">
        <v>600</v>
      </c>
      <c r="E682" s="155">
        <v>1</v>
      </c>
      <c r="F682" s="157">
        <f t="shared" si="10"/>
        <v>600</v>
      </c>
    </row>
    <row r="683" spans="1:6">
      <c r="A683" s="155" t="s">
        <v>159</v>
      </c>
      <c r="B683" s="156">
        <v>43816</v>
      </c>
      <c r="C683" s="155" t="s">
        <v>73</v>
      </c>
      <c r="D683" s="157">
        <v>6000</v>
      </c>
      <c r="E683" s="155">
        <v>1</v>
      </c>
      <c r="F683" s="157">
        <f t="shared" si="10"/>
        <v>6000</v>
      </c>
    </row>
    <row r="684" spans="1:6">
      <c r="A684" s="155" t="s">
        <v>386</v>
      </c>
      <c r="B684" s="156">
        <v>43816</v>
      </c>
      <c r="C684" s="155" t="s">
        <v>381</v>
      </c>
      <c r="D684" s="157">
        <v>600</v>
      </c>
      <c r="E684" s="155">
        <v>4</v>
      </c>
      <c r="F684" s="157">
        <f t="shared" si="10"/>
        <v>2400</v>
      </c>
    </row>
    <row r="685" spans="1:6">
      <c r="A685" s="155" t="s">
        <v>386</v>
      </c>
      <c r="B685" s="156">
        <v>43817</v>
      </c>
      <c r="C685" s="155" t="s">
        <v>382</v>
      </c>
      <c r="D685" s="157">
        <v>200</v>
      </c>
      <c r="E685" s="155">
        <v>2</v>
      </c>
      <c r="F685" s="157">
        <f t="shared" si="10"/>
        <v>400</v>
      </c>
    </row>
    <row r="686" spans="1:6">
      <c r="A686" s="155" t="s">
        <v>384</v>
      </c>
      <c r="B686" s="156">
        <v>43817</v>
      </c>
      <c r="C686" s="155" t="s">
        <v>385</v>
      </c>
      <c r="D686" s="157">
        <v>1800</v>
      </c>
      <c r="E686" s="155">
        <v>4</v>
      </c>
      <c r="F686" s="157">
        <f t="shared" si="10"/>
        <v>7200</v>
      </c>
    </row>
    <row r="687" spans="1:6">
      <c r="A687" s="155" t="s">
        <v>384</v>
      </c>
      <c r="B687" s="156">
        <v>43818</v>
      </c>
      <c r="C687" s="155" t="s">
        <v>385</v>
      </c>
      <c r="D687" s="157">
        <v>1800</v>
      </c>
      <c r="E687" s="155">
        <v>2</v>
      </c>
      <c r="F687" s="157">
        <f t="shared" si="10"/>
        <v>3600</v>
      </c>
    </row>
    <row r="688" spans="1:6">
      <c r="A688" s="155" t="s">
        <v>383</v>
      </c>
      <c r="B688" s="156">
        <v>43819</v>
      </c>
      <c r="C688" s="155" t="s">
        <v>381</v>
      </c>
      <c r="D688" s="157">
        <v>600</v>
      </c>
      <c r="E688" s="155">
        <v>4</v>
      </c>
      <c r="F688" s="157">
        <f t="shared" si="10"/>
        <v>2400</v>
      </c>
    </row>
    <row r="689" spans="1:6">
      <c r="A689" s="155" t="s">
        <v>386</v>
      </c>
      <c r="B689" s="156">
        <v>43819</v>
      </c>
      <c r="C689" s="155" t="s">
        <v>379</v>
      </c>
      <c r="D689" s="157">
        <v>150</v>
      </c>
      <c r="E689" s="155">
        <v>1</v>
      </c>
      <c r="F689" s="157">
        <f t="shared" si="10"/>
        <v>150</v>
      </c>
    </row>
    <row r="690" spans="1:6">
      <c r="A690" s="155" t="s">
        <v>159</v>
      </c>
      <c r="B690" s="156">
        <v>43821</v>
      </c>
      <c r="C690" s="155" t="s">
        <v>372</v>
      </c>
      <c r="D690" s="157">
        <v>450</v>
      </c>
      <c r="E690" s="155">
        <v>4</v>
      </c>
      <c r="F690" s="157">
        <f t="shared" si="10"/>
        <v>1800</v>
      </c>
    </row>
    <row r="691" spans="1:6">
      <c r="A691" s="155" t="s">
        <v>380</v>
      </c>
      <c r="B691" s="156">
        <v>43821</v>
      </c>
      <c r="C691" s="155" t="s">
        <v>379</v>
      </c>
      <c r="D691" s="157">
        <v>150</v>
      </c>
      <c r="E691" s="155">
        <v>4</v>
      </c>
      <c r="F691" s="157">
        <f t="shared" si="10"/>
        <v>600</v>
      </c>
    </row>
    <row r="692" spans="1:6">
      <c r="A692" s="155" t="s">
        <v>378</v>
      </c>
      <c r="B692" s="156">
        <v>43822</v>
      </c>
      <c r="C692" s="155" t="s">
        <v>390</v>
      </c>
      <c r="D692" s="157">
        <v>300</v>
      </c>
      <c r="E692" s="155">
        <v>2</v>
      </c>
      <c r="F692" s="157">
        <f t="shared" si="10"/>
        <v>600</v>
      </c>
    </row>
    <row r="693" spans="1:6">
      <c r="A693" s="155" t="s">
        <v>384</v>
      </c>
      <c r="B693" s="156">
        <v>43822</v>
      </c>
      <c r="C693" s="155" t="s">
        <v>73</v>
      </c>
      <c r="D693" s="157">
        <v>6000</v>
      </c>
      <c r="E693" s="155">
        <v>3</v>
      </c>
      <c r="F693" s="157">
        <f t="shared" si="10"/>
        <v>18000</v>
      </c>
    </row>
    <row r="694" spans="1:6">
      <c r="A694" s="155" t="s">
        <v>383</v>
      </c>
      <c r="B694" s="156">
        <v>43827</v>
      </c>
      <c r="C694" s="155" t="s">
        <v>385</v>
      </c>
      <c r="D694" s="157">
        <v>1800</v>
      </c>
      <c r="E694" s="155">
        <v>4</v>
      </c>
      <c r="F694" s="157">
        <f t="shared" si="10"/>
        <v>7200</v>
      </c>
    </row>
    <row r="695" spans="1:6">
      <c r="A695" s="155" t="s">
        <v>386</v>
      </c>
      <c r="B695" s="156">
        <v>43828</v>
      </c>
      <c r="C695" s="155" t="s">
        <v>390</v>
      </c>
      <c r="D695" s="157">
        <v>300</v>
      </c>
      <c r="E695" s="155">
        <v>2</v>
      </c>
      <c r="F695" s="157">
        <f t="shared" si="10"/>
        <v>600</v>
      </c>
    </row>
    <row r="696" spans="1:6">
      <c r="A696" s="155" t="s">
        <v>383</v>
      </c>
      <c r="B696" s="156">
        <v>43829</v>
      </c>
      <c r="C696" s="155" t="s">
        <v>372</v>
      </c>
      <c r="D696" s="157">
        <v>450</v>
      </c>
      <c r="E696" s="155">
        <v>4</v>
      </c>
      <c r="F696" s="157">
        <f t="shared" si="10"/>
        <v>1800</v>
      </c>
    </row>
    <row r="697" spans="1:6">
      <c r="A697" s="155" t="s">
        <v>386</v>
      </c>
      <c r="B697" s="156">
        <v>43829</v>
      </c>
      <c r="C697" s="155" t="s">
        <v>379</v>
      </c>
      <c r="D697" s="157">
        <v>150</v>
      </c>
      <c r="E697" s="155">
        <v>2</v>
      </c>
      <c r="F697" s="157">
        <f t="shared" si="10"/>
        <v>300</v>
      </c>
    </row>
    <row r="698" spans="1:6">
      <c r="A698" s="155" t="s">
        <v>378</v>
      </c>
      <c r="B698" s="156">
        <v>43829</v>
      </c>
      <c r="C698" s="155" t="s">
        <v>382</v>
      </c>
      <c r="D698" s="157">
        <v>200</v>
      </c>
      <c r="E698" s="155">
        <v>4</v>
      </c>
      <c r="F698" s="157">
        <f t="shared" si="10"/>
        <v>800</v>
      </c>
    </row>
    <row r="699" spans="1:6">
      <c r="A699" s="155" t="s">
        <v>384</v>
      </c>
      <c r="B699" s="156">
        <v>43829</v>
      </c>
      <c r="C699" s="155" t="s">
        <v>385</v>
      </c>
      <c r="D699" s="157">
        <v>1800</v>
      </c>
      <c r="E699" s="155">
        <v>1</v>
      </c>
      <c r="F699" s="157">
        <f t="shared" si="10"/>
        <v>1800</v>
      </c>
    </row>
    <row r="700" spans="1:6">
      <c r="A700" s="155" t="s">
        <v>380</v>
      </c>
      <c r="B700" s="156">
        <v>43830</v>
      </c>
      <c r="C700" s="155" t="s">
        <v>372</v>
      </c>
      <c r="D700" s="157">
        <v>450</v>
      </c>
      <c r="E700" s="155">
        <v>3</v>
      </c>
      <c r="F700" s="157">
        <f t="shared" si="10"/>
        <v>1350</v>
      </c>
    </row>
    <row r="701" spans="1:6">
      <c r="A701" s="155" t="s">
        <v>159</v>
      </c>
      <c r="B701" s="156">
        <v>43830</v>
      </c>
      <c r="C701" s="155" t="s">
        <v>390</v>
      </c>
      <c r="D701" s="157">
        <v>300</v>
      </c>
      <c r="E701" s="155">
        <v>1</v>
      </c>
      <c r="F701" s="157">
        <f t="shared" si="10"/>
        <v>300</v>
      </c>
    </row>
    <row r="702" spans="1:6">
      <c r="A702" s="155" t="s">
        <v>383</v>
      </c>
      <c r="B702" s="156">
        <v>43830</v>
      </c>
      <c r="C702" s="155" t="s">
        <v>382</v>
      </c>
      <c r="D702" s="157">
        <v>200</v>
      </c>
      <c r="E702" s="155">
        <v>4</v>
      </c>
      <c r="F702" s="157">
        <f t="shared" si="10"/>
        <v>800</v>
      </c>
    </row>
    <row r="703" spans="1:6">
      <c r="A703" s="155" t="s">
        <v>159</v>
      </c>
      <c r="B703" s="156">
        <v>43830</v>
      </c>
      <c r="C703" s="155" t="s">
        <v>73</v>
      </c>
      <c r="D703" s="157">
        <v>6000</v>
      </c>
      <c r="E703" s="155">
        <v>1</v>
      </c>
      <c r="F703" s="157">
        <f t="shared" si="10"/>
        <v>6000</v>
      </c>
    </row>
    <row r="704" spans="1:6">
      <c r="A704" s="155" t="s">
        <v>380</v>
      </c>
      <c r="B704" s="156">
        <v>43830</v>
      </c>
      <c r="C704" s="155" t="s">
        <v>379</v>
      </c>
      <c r="D704" s="157">
        <v>150</v>
      </c>
      <c r="E704" s="155">
        <v>1</v>
      </c>
      <c r="F704" s="157">
        <f t="shared" si="10"/>
        <v>150</v>
      </c>
    </row>
    <row r="705" spans="1:6">
      <c r="A705" s="155" t="s">
        <v>380</v>
      </c>
      <c r="B705" s="156">
        <v>43830</v>
      </c>
      <c r="C705" s="155" t="s">
        <v>382</v>
      </c>
      <c r="D705" s="157">
        <v>200</v>
      </c>
      <c r="E705" s="155">
        <v>4</v>
      </c>
      <c r="F705" s="157">
        <f t="shared" si="10"/>
        <v>800</v>
      </c>
    </row>
  </sheetData>
  <dataConsolidate/>
  <dataValidations count="1">
    <dataValidation type="list" allowBlank="1" showInputMessage="1" showErrorMessage="1" sqref="B2" xr:uid="{95A35B52-146B-46B8-9A7F-4E6067AE483C}">
      <formula1>$I$6:$I$11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Menu</vt:lpstr>
      <vt:lpstr>Formatação Condicional</vt:lpstr>
      <vt:lpstr>Formatação Condicional2</vt:lpstr>
      <vt:lpstr>Formatação Condicional 2</vt:lpstr>
      <vt:lpstr>Formatação condicional icones</vt:lpstr>
      <vt:lpstr>Formatação Condicional 3</vt:lpstr>
      <vt:lpstr>Validação de Dados Opções</vt:lpstr>
      <vt:lpstr>Lista de Compras</vt:lpstr>
      <vt:lpstr>Produto</vt:lpstr>
      <vt:lpstr>Pedido</vt:lpstr>
      <vt:lpstr>Subtotal</vt:lpstr>
      <vt:lpstr>Subtotal1</vt:lpstr>
      <vt:lpstr>ProcV</vt:lpstr>
      <vt:lpstr>ProcV2</vt:lpstr>
      <vt:lpstr>ProcV3</vt:lpstr>
      <vt:lpstr>ProcH</vt:lpstr>
      <vt:lpstr>ProcX</vt:lpstr>
      <vt:lpstr>Indice+Corresp</vt:lpstr>
      <vt:lpstr>ProcV e ProcH</vt:lpstr>
      <vt:lpstr>Filtros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ViniciusTessele</dc:creator>
  <cp:lastModifiedBy>Vinícius Tessele</cp:lastModifiedBy>
  <dcterms:created xsi:type="dcterms:W3CDTF">2025-12-15T00:42:41Z</dcterms:created>
  <dcterms:modified xsi:type="dcterms:W3CDTF">2025-12-17T17:22:30Z</dcterms:modified>
</cp:coreProperties>
</file>